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50e6cc117342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센터채널성과" sheetId="1" r:id="R008b689ef53b4e6c"/>
    <x:sheet xmlns:r="http://schemas.openxmlformats.org/officeDocument/2006/relationships" name="분석용_계산열" sheetId="2" r:id="R75208440c6de43aa"/>
    <x:sheet xmlns:r="http://schemas.openxmlformats.org/officeDocument/2006/relationships" name="요약_피벗재료" sheetId="3" r:id="Rf04a8c7aac7e4619"/>
    <x:sheet xmlns:r="http://schemas.openxmlformats.org/officeDocument/2006/relationships" name="보고서_초안" sheetId="4" r:id="Rc9848f0ced704c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0.0"/>
  </x:numFmts>
  <x:fonts count="2">
    <x:font>
      <x:sz val="11"/>
      <x:name val="Carlito"/>
    </x:font>
    <x:font>
      <x:b/>
      <x:sz val="11"/>
      <x:color rgb="FF183153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borderId="0" xfId="0" applyNumberFormat="1" applyFont="1" applyFill="0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b4c7648b1b4d67" /><Relationship Type="http://schemas.openxmlformats.org/officeDocument/2006/relationships/theme" Target="/xl/theme/theme1.xml" Id="R7448573b48184f08" /><Relationship Type="http://schemas.openxmlformats.org/officeDocument/2006/relationships/sharedStrings" Target="/xl/sharedStrings.xml" Id="R5d2b9c566e584cae" /><Relationship Type="http://schemas.openxmlformats.org/officeDocument/2006/relationships/worksheet" Target="/xl/worksheets/sheet1.xml" Id="R008b689ef53b4e6c" /><Relationship Type="http://schemas.openxmlformats.org/officeDocument/2006/relationships/worksheet" Target="/xl/worksheets/sheet2.xml" Id="R75208440c6de43aa" /><Relationship Type="http://schemas.openxmlformats.org/officeDocument/2006/relationships/worksheet" Target="/xl/worksheets/sheet3.xml" Id="Rf04a8c7aac7e4619" /><Relationship Type="http://schemas.openxmlformats.org/officeDocument/2006/relationships/worksheet" Target="/xl/worksheets/sheet4.xml" Id="Rc9848f0ced704c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5600004196167" hidden="0" customWidth="1"/>
    <x:col min="2" max="2" width="13.109999656677246" hidden="0" customWidth="1"/>
    <x:col min="3" max="3" width="13.109999656677246" hidden="0" customWidth="1"/>
    <x:col min="4" max="4" width="13.109999656677246" hidden="0" customWidth="1"/>
    <x:col min="5" max="5" width="10.5600004196167" hidden="0" customWidth="1"/>
    <x:col min="6" max="6" width="10.5600004196167" hidden="0" customWidth="1"/>
    <x:col min="7" max="7" width="10.5600004196167" hidden="0" customWidth="1"/>
    <x:col min="8" max="8" width="10.5600004196167" hidden="0" customWidth="1"/>
    <x:col min="9" max="9" width="10.5600004196167" hidden="0" customWidth="1"/>
    <x:col min="10" max="10" width="10.5600004196167" hidden="0" customWidth="1"/>
    <x:col min="11" max="11" width="16.670000076293945" hidden="0" customWidth="1"/>
  </x:cols>
  <x:sheetData>
    <x:row r="1">
      <x:c r="A1" s="2" t="str">
        <x:v>month</x:v>
      </x:c>
      <x:c r="B1" s="2" t="str">
        <x:v>center</x:v>
      </x:c>
      <x:c r="C1" s="2" t="str">
        <x:v>course</x:v>
      </x:c>
      <x:c r="D1" s="2" t="str">
        <x:v>channel</x:v>
      </x:c>
      <x:c r="E1" s="2" t="str">
        <x:v>lead_count</x:v>
      </x:c>
      <x:c r="F1" s="2" t="str">
        <x:v>consult_count</x:v>
      </x:c>
      <x:c r="G1" s="2" t="str">
        <x:v>enroll_count</x:v>
      </x:c>
      <x:c r="H1" s="2" t="str">
        <x:v>revenue</x:v>
      </x:c>
      <x:c r="I1" s="2" t="str">
        <x:v>refund_count</x:v>
      </x:c>
      <x:c r="J1" s="2" t="str">
        <x:v>ad_cost</x:v>
      </x:c>
      <x:c r="K1" s="2" t="str">
        <x:v>note</x:v>
      </x:c>
    </x:row>
    <x:row r="2">
      <x:c r="A2" t="str">
        <x:v>2026-02</x:v>
      </x:c>
      <x:c r="B2" t="str">
        <x:v>강남센터</x:v>
      </x:c>
      <x:c r="C2" t="str">
        <x:v>고등 입시</x:v>
      </x:c>
      <x:c r="D2" t="str">
        <x:v>홈페이지</x:v>
      </x:c>
      <x:c r="E2" t="n">
        <x:v>26</x:v>
      </x:c>
      <x:c r="F2" t="n">
        <x:v>11</x:v>
      </x:c>
      <x:c r="G2" t="n">
        <x:v>5</x:v>
      </x:c>
      <x:c r="H2" s="3" t="n">
        <x:v>3580000</x:v>
      </x:c>
      <x:c r="I2" s="3" t="n">
        <x:v>0</x:v>
      </x:c>
      <x:c r="J2" s="3" t="n">
        <x:v>60000</x:v>
      </x:c>
      <x:c r="K2" t="str"/>
    </x:row>
    <x:row r="3">
      <x:c r="A3" t="str">
        <x:v>2026-02</x:v>
      </x:c>
      <x:c r="B3" t="str">
        <x:v>강남센터</x:v>
      </x:c>
      <x:c r="C3" t="str">
        <x:v>초등 자기주도</x:v>
      </x:c>
      <x:c r="D3" t="str">
        <x:v>블로그</x:v>
      </x:c>
      <x:c r="E3" t="n">
        <x:v>41</x:v>
      </x:c>
      <x:c r="F3" t="n">
        <x:v>22</x:v>
      </x:c>
      <x:c r="G3" t="n">
        <x:v>8</x:v>
      </x:c>
      <x:c r="H3" s="3" t="n">
        <x:v>7000000</x:v>
      </x:c>
      <x:c r="I3" s="3" t="n">
        <x:v>0</x:v>
      </x:c>
      <x:c r="J3" s="3" t="n">
        <x:v>120000</x:v>
      </x:c>
      <x:c r="K3" t="str"/>
    </x:row>
    <x:row r="4">
      <x:c r="A4" t="str">
        <x:v>2026-02</x:v>
      </x:c>
      <x:c r="B4" t="str">
        <x:v>강남센터</x:v>
      </x:c>
      <x:c r="C4" t="str">
        <x:v>학부모 코칭</x:v>
      </x:c>
      <x:c r="D4" t="str">
        <x:v>카카오채널</x:v>
      </x:c>
      <x:c r="E4" t="n">
        <x:v>73</x:v>
      </x:c>
      <x:c r="F4" t="n">
        <x:v>34</x:v>
      </x:c>
      <x:c r="G4" t="n">
        <x:v>8</x:v>
      </x:c>
      <x:c r="H4" s="3" t="n">
        <x:v>7280000</x:v>
      </x:c>
      <x:c r="I4" s="3" t="n">
        <x:v>0</x:v>
      </x:c>
      <x:c r="J4" s="3" t="n">
        <x:v>130000</x:v>
      </x:c>
      <x:c r="K4" t="str"/>
    </x:row>
    <x:row r="5">
      <x:c r="A5" t="str">
        <x:v>2026-02</x:v>
      </x:c>
      <x:c r="B5" t="str">
        <x:v>강남센터</x:v>
      </x:c>
      <x:c r="C5" t="str">
        <x:v>중등 내신</x:v>
      </x:c>
      <x:c r="D5" t="str">
        <x:v>네이버광고</x:v>
      </x:c>
      <x:c r="E5" t="n">
        <x:v>78</x:v>
      </x:c>
      <x:c r="F5" t="n">
        <x:v>53</x:v>
      </x:c>
      <x:c r="G5" t="n">
        <x:v>12</x:v>
      </x:c>
      <x:c r="H5" s="3" t="n">
        <x:v>10590000</x:v>
      </x:c>
      <x:c r="I5" s="3" t="n">
        <x:v>0</x:v>
      </x:c>
      <x:c r="J5" s="3" t="n">
        <x:v>920000</x:v>
      </x:c>
      <x:c r="K5" t="str">
        <x:v>설명회 유입 포함</x:v>
      </x:c>
    </x:row>
    <x:row r="6">
      <x:c r="A6" t="str">
        <x:v>2026-02</x:v>
      </x:c>
      <x:c r="B6" t="str">
        <x:v>강남센터</x:v>
      </x:c>
      <x:c r="C6" t="str">
        <x:v>AI 학습관리</x:v>
      </x:c>
      <x:c r="D6" t="str">
        <x:v>지인추천</x:v>
      </x:c>
      <x:c r="E6" t="n">
        <x:v>26</x:v>
      </x:c>
      <x:c r="F6" t="n">
        <x:v>17</x:v>
      </x:c>
      <x:c r="G6" t="n">
        <x:v>7</x:v>
      </x:c>
      <x:c r="H6" s="3" t="n">
        <x:v>5010000</x:v>
      </x:c>
      <x:c r="I6" s="3" t="n">
        <x:v>0</x:v>
      </x:c>
      <x:c r="J6" s="3" t="n">
        <x:v>50000</x:v>
      </x:c>
      <x:c r="K6" t="str"/>
    </x:row>
    <x:row r="7">
      <x:c r="A7" t="str">
        <x:v>2026-02</x:v>
      </x:c>
      <x:c r="B7" t="str">
        <x:v>강남센터</x:v>
      </x:c>
      <x:c r="C7" t="str">
        <x:v>고등 입시</x:v>
      </x:c>
      <x:c r="D7" t="str">
        <x:v>설명회</x:v>
      </x:c>
      <x:c r="E7" t="n">
        <x:v>46</x:v>
      </x:c>
      <x:c r="F7" t="n">
        <x:v>21</x:v>
      </x:c>
      <x:c r="G7" t="n">
        <x:v>5</x:v>
      </x:c>
      <x:c r="H7" s="3" t="n">
        <x:v>3570000</x:v>
      </x:c>
      <x:c r="I7" s="3" t="n">
        <x:v>0</x:v>
      </x:c>
      <x:c r="J7" s="3" t="n">
        <x:v>130000</x:v>
      </x:c>
      <x:c r="K7" t="str"/>
    </x:row>
    <x:row r="8">
      <x:c r="A8" t="str">
        <x:v>2026-02</x:v>
      </x:c>
      <x:c r="B8" t="str">
        <x:v>분당센터</x:v>
      </x:c>
      <x:c r="C8" t="str">
        <x:v>초등 자기주도</x:v>
      </x:c>
      <x:c r="D8" t="str">
        <x:v>홈페이지</x:v>
      </x:c>
      <x:c r="E8" t="n">
        <x:v>54</x:v>
      </x:c>
      <x:c r="F8" t="n">
        <x:v>36</x:v>
      </x:c>
      <x:c r="G8" t="n">
        <x:v>17</x:v>
      </x:c>
      <x:c r="H8" s="3" t="n">
        <x:v>9870000</x:v>
      </x:c>
      <x:c r="I8" s="3" t="n">
        <x:v>0</x:v>
      </x:c>
      <x:c r="J8" s="3" t="n">
        <x:v>100000</x:v>
      </x:c>
      <x:c r="K8" t="str"/>
    </x:row>
    <x:row r="9">
      <x:c r="A9" t="str">
        <x:v>2026-02</x:v>
      </x:c>
      <x:c r="B9" t="str">
        <x:v>분당센터</x:v>
      </x:c>
      <x:c r="C9" t="str">
        <x:v>학부모 코칭</x:v>
      </x:c>
      <x:c r="D9" t="str">
        <x:v>블로그</x:v>
      </x:c>
      <x:c r="E9" t="n">
        <x:v>63</x:v>
      </x:c>
      <x:c r="F9" t="n">
        <x:v>40</x:v>
      </x:c>
      <x:c r="G9" t="n">
        <x:v>17</x:v>
      </x:c>
      <x:c r="H9" s="3" t="n">
        <x:v>9500000</x:v>
      </x:c>
      <x:c r="I9" s="3" t="n">
        <x:v>2</x:v>
      </x:c>
      <x:c r="J9" s="3" t="n">
        <x:v>110000</x:v>
      </x:c>
      <x:c r="K9" t="str"/>
    </x:row>
    <x:row r="10">
      <x:c r="A10" t="str">
        <x:v>2026-02</x:v>
      </x:c>
      <x:c r="B10" t="str">
        <x:v>분당센터</x:v>
      </x:c>
      <x:c r="C10" t="str">
        <x:v>고등 입시</x:v>
      </x:c>
      <x:c r="D10" t="str">
        <x:v>카카오채널</x:v>
      </x:c>
      <x:c r="E10" t="n">
        <x:v>66</x:v>
      </x:c>
      <x:c r="F10" t="n">
        <x:v>29</x:v>
      </x:c>
      <x:c r="G10" t="n">
        <x:v>6</x:v>
      </x:c>
      <x:c r="H10" s="3" t="n">
        <x:v>3510000</x:v>
      </x:c>
      <x:c r="I10" s="3" t="n">
        <x:v>0</x:v>
      </x:c>
      <x:c r="J10" s="3" t="n">
        <x:v>230000</x:v>
      </x:c>
      <x:c r="K10" t="str"/>
    </x:row>
    <x:row r="11">
      <x:c r="A11" t="str">
        <x:v>2026-02</x:v>
      </x:c>
      <x:c r="B11" t="str">
        <x:v>분당센터</x:v>
      </x:c>
      <x:c r="C11" t="str">
        <x:v>초등 자기주도</x:v>
      </x:c>
      <x:c r="D11" t="str">
        <x:v>네이버광고</x:v>
      </x:c>
      <x:c r="E11" t="n">
        <x:v>33</x:v>
      </x:c>
      <x:c r="F11" t="n">
        <x:v>16</x:v>
      </x:c>
      <x:c r="G11" t="n">
        <x:v>6</x:v>
      </x:c>
      <x:c r="H11" s="3" t="n">
        <x:v>5700000</x:v>
      </x:c>
      <x:c r="I11" s="3" t="n">
        <x:v>0</x:v>
      </x:c>
      <x:c r="J11" s="3" t="n">
        <x:v>450000</x:v>
      </x:c>
      <x:c r="K11" t="str"/>
    </x:row>
    <x:row r="12">
      <x:c r="A12" t="str">
        <x:v>2026-02</x:v>
      </x:c>
      <x:c r="B12" t="str">
        <x:v>분당센터</x:v>
      </x:c>
      <x:c r="C12" t="str">
        <x:v>학부모 코칭</x:v>
      </x:c>
      <x:c r="D12" t="str">
        <x:v>지인추천</x:v>
      </x:c>
      <x:c r="E12" t="n">
        <x:v>102</x:v>
      </x:c>
      <x:c r="F12" t="n">
        <x:v>61</x:v>
      </x:c>
      <x:c r="G12" t="n">
        <x:v>32</x:v>
      </x:c>
      <x:c r="H12" s="3" t="n">
        <x:v>29920000</x:v>
      </x:c>
      <x:c r="I12" s="3" t="n">
        <x:v>0</x:v>
      </x:c>
      <x:c r="J12" s="3" t="n">
        <x:v>170000</x:v>
      </x:c>
      <x:c r="K12" t="str"/>
    </x:row>
    <x:row r="13">
      <x:c r="A13" t="str">
        <x:v>2026-02</x:v>
      </x:c>
      <x:c r="B13" t="str">
        <x:v>분당센터</x:v>
      </x:c>
      <x:c r="C13" t="str">
        <x:v>중등 내신</x:v>
      </x:c>
      <x:c r="D13" t="str">
        <x:v>설명회</x:v>
      </x:c>
      <x:c r="E13" t="n">
        <x:v>73</x:v>
      </x:c>
      <x:c r="F13" t="n">
        <x:v>48</x:v>
      </x:c>
      <x:c r="G13" t="n">
        <x:v>10</x:v>
      </x:c>
      <x:c r="H13" s="3" t="n">
        <x:v>5740000</x:v>
      </x:c>
      <x:c r="I13" s="3" t="n">
        <x:v>2</x:v>
      </x:c>
      <x:c r="J13" s="3" t="n">
        <x:v>140000</x:v>
      </x:c>
      <x:c r="K13" t="str"/>
    </x:row>
    <x:row r="14">
      <x:c r="A14" t="str">
        <x:v>2026-02</x:v>
      </x:c>
      <x:c r="B14" t="str">
        <x:v>송파센터</x:v>
      </x:c>
      <x:c r="C14" t="str">
        <x:v>초등 자기주도</x:v>
      </x:c>
      <x:c r="D14" t="str">
        <x:v>홈페이지</x:v>
      </x:c>
      <x:c r="E14" t="n">
        <x:v>94</x:v>
      </x:c>
      <x:c r="F14" t="n">
        <x:v>59</x:v>
      </x:c>
      <x:c r="G14" t="n">
        <x:v>24</x:v>
      </x:c>
      <x:c r="H14" s="3" t="n">
        <x:v>18700000</x:v>
      </x:c>
      <x:c r="I14" s="3" t="n">
        <x:v>0</x:v>
      </x:c>
      <x:c r="J14" s="3" t="n">
        <x:v>160000</x:v>
      </x:c>
      <x:c r="K14" t="str"/>
    </x:row>
    <x:row r="15">
      <x:c r="A15" t="str">
        <x:v>2026-02</x:v>
      </x:c>
      <x:c r="B15" t="str">
        <x:v>송파센터</x:v>
      </x:c>
      <x:c r="C15" t="str">
        <x:v>학부모 코칭</x:v>
      </x:c>
      <x:c r="D15" t="str">
        <x:v>블로그</x:v>
      </x:c>
      <x:c r="E15" t="n">
        <x:v>69</x:v>
      </x:c>
      <x:c r="F15" t="n">
        <x:v>37</x:v>
      </x:c>
      <x:c r="G15" t="n">
        <x:v>7</x:v>
      </x:c>
      <x:c r="H15" s="3" t="n">
        <x:v>4020000</x:v>
      </x:c>
      <x:c r="I15" s="3" t="n">
        <x:v>0</x:v>
      </x:c>
      <x:c r="J15" s="3" t="n">
        <x:v>150000</x:v>
      </x:c>
      <x:c r="K15" t="str"/>
    </x:row>
    <x:row r="16">
      <x:c r="A16" t="str">
        <x:v>2026-02</x:v>
      </x:c>
      <x:c r="B16" t="str">
        <x:v>송파센터</x:v>
      </x:c>
      <x:c r="C16" t="str">
        <x:v>중등 내신</x:v>
      </x:c>
      <x:c r="D16" t="str">
        <x:v>카카오채널</x:v>
      </x:c>
      <x:c r="E16" t="n">
        <x:v>25</x:v>
      </x:c>
      <x:c r="F16" t="n">
        <x:v>13</x:v>
      </x:c>
      <x:c r="G16" t="n">
        <x:v>7</x:v>
      </x:c>
      <x:c r="H16" s="3" t="n">
        <x:v>3770000</x:v>
      </x:c>
      <x:c r="I16" s="3" t="n">
        <x:v>0</x:v>
      </x:c>
      <x:c r="J16" s="3" t="n">
        <x:v>40000</x:v>
      </x:c>
      <x:c r="K16" t="str">
        <x:v>센터명 표기 확인 필요</x:v>
      </x:c>
    </x:row>
    <x:row r="17">
      <x:c r="A17" t="str">
        <x:v>2026-02</x:v>
      </x:c>
      <x:c r="B17" t="str">
        <x:v>송파센터</x:v>
      </x:c>
      <x:c r="C17" t="str">
        <x:v>AI 학습관리</x:v>
      </x:c>
      <x:c r="D17" t="str">
        <x:v>네이버광고</x:v>
      </x:c>
      <x:c r="E17" t="n">
        <x:v>34</x:v>
      </x:c>
      <x:c r="F17" t="n">
        <x:v>19</x:v>
      </x:c>
      <x:c r="G17" t="n">
        <x:v>9</x:v>
      </x:c>
      <x:c r="H17" s="3" t="n">
        <x:v>5730000</x:v>
      </x:c>
      <x:c r="I17" s="3" t="n">
        <x:v>0</x:v>
      </x:c>
      <x:c r="J17" s="3" t="n">
        <x:v>410000</x:v>
      </x:c>
      <x:c r="K17" t="str">
        <x:v>센터명 표기 확인 필요</x:v>
      </x:c>
    </x:row>
    <x:row r="18">
      <x:c r="A18" t="str">
        <x:v>2026-02</x:v>
      </x:c>
      <x:c r="B18" t="str">
        <x:v>송파센터</x:v>
      </x:c>
      <x:c r="C18" t="str">
        <x:v>고등 입시</x:v>
      </x:c>
      <x:c r="D18" t="str">
        <x:v>지인추천</x:v>
      </x:c>
      <x:c r="E18" t="n">
        <x:v>101</x:v>
      </x:c>
      <x:c r="F18" t="n">
        <x:v>65</x:v>
      </x:c>
      <x:c r="G18" t="n">
        <x:v>27</x:v>
      </x:c>
      <x:c r="H18" s="3" t="n">
        <x:v>16440000</x:v>
      </x:c>
      <x:c r="I18" s="3" t="n">
        <x:v>0</x:v>
      </x:c>
      <x:c r="J18" s="3" t="n">
        <x:v>300000</x:v>
      </x:c>
      <x:c r="K18" t="str"/>
    </x:row>
    <x:row r="19">
      <x:c r="A19" t="str">
        <x:v>2026-02</x:v>
      </x:c>
      <x:c r="B19" t="str">
        <x:v>송파센터</x:v>
      </x:c>
      <x:c r="C19" t="str">
        <x:v>초등 자기주도</x:v>
      </x:c>
      <x:c r="D19" t="str">
        <x:v>설명회</x:v>
      </x:c>
      <x:c r="E19" t="n">
        <x:v>62</x:v>
      </x:c>
      <x:c r="F19" t="n">
        <x:v>39</x:v>
      </x:c>
      <x:c r="G19" t="n">
        <x:v>12</x:v>
      </x:c>
      <x:c r="H19" s="3" t="n">
        <x:v>10210000</x:v>
      </x:c>
      <x:c r="I19" s="3" t="n">
        <x:v>0</x:v>
      </x:c>
      <x:c r="J19" s="3" t="n">
        <x:v>160000</x:v>
      </x:c>
      <x:c r="K19" t="str"/>
    </x:row>
    <x:row r="20">
      <x:c r="A20" t="str">
        <x:v>2026-02</x:v>
      </x:c>
      <x:c r="B20" t="str">
        <x:v>목동센터</x:v>
      </x:c>
      <x:c r="C20" t="str">
        <x:v>학부모 코칭</x:v>
      </x:c>
      <x:c r="D20" t="str">
        <x:v>홈페이지</x:v>
      </x:c>
      <x:c r="E20" t="n">
        <x:v>60</x:v>
      </x:c>
      <x:c r="F20" t="n">
        <x:v>36</x:v>
      </x:c>
      <x:c r="G20" t="n">
        <x:v>12</x:v>
      </x:c>
      <x:c r="H20" s="3" t="n">
        <x:v>9920000</x:v>
      </x:c>
      <x:c r="I20" s="3" t="n">
        <x:v>0</x:v>
      </x:c>
      <x:c r="J20" s="3" t="n">
        <x:v>110000</x:v>
      </x:c>
      <x:c r="K20" t="str"/>
    </x:row>
    <x:row r="21">
      <x:c r="A21" t="str">
        <x:v>2026-02</x:v>
      </x:c>
      <x:c r="B21" t="str">
        <x:v>목동센터</x:v>
      </x:c>
      <x:c r="C21" t="str">
        <x:v>중등 내신</x:v>
      </x:c>
      <x:c r="D21" t="str">
        <x:v>블로그</x:v>
      </x:c>
      <x:c r="E21" t="n">
        <x:v>40</x:v>
      </x:c>
      <x:c r="F21" t="n">
        <x:v>15</x:v>
      </x:c>
      <x:c r="G21" t="n">
        <x:v>7</x:v>
      </x:c>
      <x:c r="H21" s="3" t="n">
        <x:v>6560000</x:v>
      </x:c>
      <x:c r="I21" s="3" t="n">
        <x:v>0</x:v>
      </x:c>
      <x:c r="J21" s="3" t="n">
        <x:v>100000</x:v>
      </x:c>
      <x:c r="K21" t="str"/>
    </x:row>
    <x:row r="22">
      <x:c r="A22" t="str">
        <x:v>2026-02</x:v>
      </x:c>
      <x:c r="B22" t="str">
        <x:v>목동센터</x:v>
      </x:c>
      <x:c r="C22" t="str">
        <x:v>AI 학습관리</x:v>
      </x:c>
      <x:c r="D22" t="str">
        <x:v>카카오채널</x:v>
      </x:c>
      <x:c r="E22" t="n">
        <x:v>39</x:v>
      </x:c>
      <x:c r="F22" t="n">
        <x:v>18</x:v>
      </x:c>
      <x:c r="G22" t="n">
        <x:v>9</x:v>
      </x:c>
      <x:c r="H22" s="3" t="n">
        <x:v>6640000</x:v>
      </x:c>
      <x:c r="I22" s="3" t="n">
        <x:v>1</x:v>
      </x:c>
      <x:c r="J22" s="3" t="n">
        <x:v>150000</x:v>
      </x:c>
      <x:c r="K22" t="str"/>
    </x:row>
    <x:row r="23">
      <x:c r="A23" t="str">
        <x:v>2026-02</x:v>
      </x:c>
      <x:c r="B23" t="str">
        <x:v>목동센터</x:v>
      </x:c>
      <x:c r="C23" t="str">
        <x:v>학부모 코칭</x:v>
      </x:c>
      <x:c r="D23" t="str">
        <x:v>네이버광고</x:v>
      </x:c>
      <x:c r="E23" t="n">
        <x:v>63</x:v>
      </x:c>
      <x:c r="F23" t="n">
        <x:v>29</x:v>
      </x:c>
      <x:c r="G23" t="n">
        <x:v>5</x:v>
      </x:c>
      <x:c r="H23" s="3" t="n">
        <x:v>3690000</x:v>
      </x:c>
      <x:c r="I23" s="3" t="n">
        <x:v>2</x:v>
      </x:c>
      <x:c r="J23" s="3" t="n">
        <x:v>1190000</x:v>
      </x:c>
      <x:c r="K23" t="str"/>
    </x:row>
    <x:row r="24">
      <x:c r="A24" t="str">
        <x:v>2026-02</x:v>
      </x:c>
      <x:c r="B24" t="str">
        <x:v>목동센터</x:v>
      </x:c>
      <x:c r="C24" t="str">
        <x:v>고등 입시</x:v>
      </x:c>
      <x:c r="D24" t="str">
        <x:v>지인추천</x:v>
      </x:c>
      <x:c r="E24" t="n">
        <x:v>76</x:v>
      </x:c>
      <x:c r="F24" t="n">
        <x:v>42</x:v>
      </x:c>
      <x:c r="G24" t="n">
        <x:v>21</x:v>
      </x:c>
      <x:c r="H24" s="3" t="n">
        <x:v>18310000</x:v>
      </x:c>
      <x:c r="I24" s="3" t="n">
        <x:v>0</x:v>
      </x:c>
      <x:c r="J24" s="3" t="n">
        <x:v>180000</x:v>
      </x:c>
      <x:c r="K24" t="str"/>
    </x:row>
    <x:row r="25">
      <x:c r="A25" t="str">
        <x:v>2026-02</x:v>
      </x:c>
      <x:c r="B25" t="str">
        <x:v>목동센터</x:v>
      </x:c>
      <x:c r="C25" t="str">
        <x:v>초등 자기주도</x:v>
      </x:c>
      <x:c r="D25" t="str">
        <x:v>설명회</x:v>
      </x:c>
      <x:c r="E25" t="n">
        <x:v>39</x:v>
      </x:c>
      <x:c r="F25" t="n">
        <x:v>25</x:v>
      </x:c>
      <x:c r="G25" t="n">
        <x:v>12</x:v>
      </x:c>
      <x:c r="H25" s="3" t="n">
        <x:v>7080000</x:v>
      </x:c>
      <x:c r="I25" s="3" t="n">
        <x:v>0</x:v>
      </x:c>
      <x:c r="J25" s="3" t="n">
        <x:v>80000</x:v>
      </x:c>
      <x:c r="K25" t="str"/>
    </x:row>
    <x:row r="26">
      <x:c r="A26" t="str">
        <x:v>2026-02</x:v>
      </x:c>
      <x:c r="B26" t="str">
        <x:v>대전센터</x:v>
      </x:c>
      <x:c r="C26" t="str">
        <x:v>학부모 코칭</x:v>
      </x:c>
      <x:c r="D26" t="str">
        <x:v>홈페이지</x:v>
      </x:c>
      <x:c r="E26" t="n">
        <x:v>38</x:v>
      </x:c>
      <x:c r="F26" t="n">
        <x:v>27</x:v>
      </x:c>
      <x:c r="G26" t="n">
        <x:v>6</x:v>
      </x:c>
      <x:c r="H26" s="3" t="n">
        <x:v>4800000</x:v>
      </x:c>
      <x:c r="I26" s="3" t="n">
        <x:v>0</x:v>
      </x:c>
      <x:c r="J26" s="3" t="n">
        <x:v>60000</x:v>
      </x:c>
      <x:c r="K26" t="str"/>
    </x:row>
    <x:row r="27">
      <x:c r="A27" t="str">
        <x:v>2026-02</x:v>
      </x:c>
      <x:c r="B27" t="str">
        <x:v>대전센터</x:v>
      </x:c>
      <x:c r="C27" t="str">
        <x:v>중등 내신</x:v>
      </x:c>
      <x:c r="D27" t="str">
        <x:v>블로그</x:v>
      </x:c>
      <x:c r="E27" t="n">
        <x:v>48</x:v>
      </x:c>
      <x:c r="F27" t="n">
        <x:v>19</x:v>
      </x:c>
      <x:c r="G27" t="n">
        <x:v>5</x:v>
      </x:c>
      <x:c r="H27" s="3" t="n">
        <x:v>2430000</x:v>
      </x:c>
      <x:c r="I27" s="3" t="n">
        <x:v>0</x:v>
      </x:c>
      <x:c r="J27" s="3" t="n">
        <x:v>70000</x:v>
      </x:c>
      <x:c r="K27" t="str"/>
    </x:row>
    <x:row r="28">
      <x:c r="A28" t="str">
        <x:v>2026-02</x:v>
      </x:c>
      <x:c r="B28" t="str">
        <x:v>대전센터</x:v>
      </x:c>
      <x:c r="C28" t="str">
        <x:v>AI 학습관리</x:v>
      </x:c>
      <x:c r="D28" t="str">
        <x:v>카카오채널</x:v>
      </x:c>
      <x:c r="E28" t="n">
        <x:v>31</x:v>
      </x:c>
      <x:c r="F28" t="n">
        <x:v>14</x:v>
      </x:c>
      <x:c r="G28" t="n">
        <x:v>3</x:v>
      </x:c>
      <x:c r="H28" s="3" t="n">
        <x:v>2350000</x:v>
      </x:c>
      <x:c r="I28" s="3" t="n">
        <x:v>3</x:v>
      </x:c>
      <x:c r="J28" s="3" t="n">
        <x:v>90000</x:v>
      </x:c>
      <x:c r="K28" t="str"/>
    </x:row>
    <x:row r="29">
      <x:c r="A29" t="str">
        <x:v>2026-02</x:v>
      </x:c>
      <x:c r="B29" t="str">
        <x:v>대전센터</x:v>
      </x:c>
      <x:c r="C29" t="str">
        <x:v>학부모 코칭</x:v>
      </x:c>
      <x:c r="D29" t="str">
        <x:v>네이버광고</x:v>
      </x:c>
      <x:c r="E29" t="n">
        <x:v>65</x:v>
      </x:c>
      <x:c r="F29" t="n">
        <x:v>36</x:v>
      </x:c>
      <x:c r="G29" t="n">
        <x:v>10</x:v>
      </x:c>
      <x:c r="H29" s="3" t="n">
        <x:v>9970000</x:v>
      </x:c>
      <x:c r="I29" s="3" t="n">
        <x:v>0</x:v>
      </x:c>
      <x:c r="J29" s="3" t="n">
        <x:v>1000000</x:v>
      </x:c>
      <x:c r="K29" t="str"/>
    </x:row>
    <x:row r="30">
      <x:c r="A30" t="str">
        <x:v>2026-02</x:v>
      </x:c>
      <x:c r="B30" t="str">
        <x:v>대전센터</x:v>
      </x:c>
      <x:c r="C30" t="str">
        <x:v>중등 내신</x:v>
      </x:c>
      <x:c r="D30" t="str">
        <x:v>지인추천</x:v>
      </x:c>
      <x:c r="E30" t="n">
        <x:v>84</x:v>
      </x:c>
      <x:c r="F30" t="n">
        <x:v>55</x:v>
      </x:c>
      <x:c r="G30" t="n">
        <x:v>29</x:v>
      </x:c>
      <x:c r="H30" s="3" t="n">
        <x:v>19770000</x:v>
      </x:c>
      <x:c r="I30" s="3" t="n">
        <x:v>0</x:v>
      </x:c>
      <x:c r="J30" s="3" t="n">
        <x:v>220000</x:v>
      </x:c>
      <x:c r="K30" t="str"/>
    </x:row>
    <x:row r="31">
      <x:c r="A31" t="str">
        <x:v>2026-02</x:v>
      </x:c>
      <x:c r="B31" t="str">
        <x:v>대전센터</x:v>
      </x:c>
      <x:c r="C31" t="str">
        <x:v>AI 학습관리</x:v>
      </x:c>
      <x:c r="D31" t="str">
        <x:v>설명회</x:v>
      </x:c>
      <x:c r="E31" t="n">
        <x:v>28</x:v>
      </x:c>
      <x:c r="F31" t="n">
        <x:v>16</x:v>
      </x:c>
      <x:c r="G31" t="n">
        <x:v>6</x:v>
      </x:c>
      <x:c r="H31" s="3" t="n">
        <x:v>3600000</x:v>
      </x:c>
      <x:c r="I31" s="3" t="n">
        <x:v>0</x:v>
      </x:c>
      <x:c r="J31" s="3" t="n">
        <x:v>60000</x:v>
      </x:c>
      <x:c r="K31" t="str"/>
    </x:row>
    <x:row r="32">
      <x:c r="A32" t="str">
        <x:v>2026-02</x:v>
      </x:c>
      <x:c r="B32" t="str">
        <x:v>부산센터</x:v>
      </x:c>
      <x:c r="C32" t="str">
        <x:v>고등 입시</x:v>
      </x:c>
      <x:c r="D32" t="str">
        <x:v>홈페이지</x:v>
      </x:c>
      <x:c r="E32" t="n">
        <x:v>42</x:v>
      </x:c>
      <x:c r="F32" t="n">
        <x:v>21</x:v>
      </x:c>
      <x:c r="G32" t="n">
        <x:v>5</x:v>
      </x:c>
      <x:c r="H32" s="3" t="n">
        <x:v>4650000</x:v>
      </x:c>
      <x:c r="I32" s="3" t="n">
        <x:v>0</x:v>
      </x:c>
      <x:c r="J32" s="3" t="n">
        <x:v>100000</x:v>
      </x:c>
      <x:c r="K32" t="str"/>
    </x:row>
    <x:row r="33">
      <x:c r="A33" t="str">
        <x:v>2026-02</x:v>
      </x:c>
      <x:c r="B33" t="str">
        <x:v>부산센터</x:v>
      </x:c>
      <x:c r="C33" t="str">
        <x:v>초등 자기주도</x:v>
      </x:c>
      <x:c r="D33" t="str">
        <x:v>블로그</x:v>
      </x:c>
      <x:c r="E33" t="n">
        <x:v>96</x:v>
      </x:c>
      <x:c r="F33" t="n">
        <x:v>50</x:v>
      </x:c>
      <x:c r="G33" t="n">
        <x:v>20</x:v>
      </x:c>
      <x:c r="H33" s="3" t="n">
        <x:v>18760000</x:v>
      </x:c>
      <x:c r="I33" s="3" t="n">
        <x:v>2</x:v>
      </x:c>
      <x:c r="J33" s="3" t="n">
        <x:v>330000</x:v>
      </x:c>
      <x:c r="K33" t="str"/>
    </x:row>
    <x:row r="34">
      <x:c r="A34" t="str">
        <x:v>2026-02</x:v>
      </x:c>
      <x:c r="B34" t="str">
        <x:v>부산센터</x:v>
      </x:c>
      <x:c r="C34" t="str">
        <x:v>AI 학습관리</x:v>
      </x:c>
      <x:c r="D34" t="str">
        <x:v>카카오채널</x:v>
      </x:c>
      <x:c r="E34" t="n">
        <x:v>29</x:v>
      </x:c>
      <x:c r="F34" t="n">
        <x:v>16</x:v>
      </x:c>
      <x:c r="G34" t="n">
        <x:v>5</x:v>
      </x:c>
      <x:c r="H34" s="3" t="n">
        <x:v>4270000</x:v>
      </x:c>
      <x:c r="I34" s="3" t="n">
        <x:v>0</x:v>
      </x:c>
      <x:c r="J34" s="3" t="n">
        <x:v>40000</x:v>
      </x:c>
      <x:c r="K34" t="str"/>
    </x:row>
    <x:row r="35">
      <x:c r="A35" t="str">
        <x:v>2026-02</x:v>
      </x:c>
      <x:c r="B35" t="str">
        <x:v>부산센터</x:v>
      </x:c>
      <x:c r="C35" t="str">
        <x:v>고등 입시</x:v>
      </x:c>
      <x:c r="D35" t="str">
        <x:v>네이버광고</x:v>
      </x:c>
      <x:c r="E35" t="n">
        <x:v>103</x:v>
      </x:c>
      <x:c r="F35" t="n">
        <x:v>42</x:v>
      </x:c>
      <x:c r="G35" t="n">
        <x:v>21</x:v>
      </x:c>
      <x:c r="H35" s="3" t="n">
        <x:v>14760000</x:v>
      </x:c>
      <x:c r="I35" s="3" t="n">
        <x:v>0</x:v>
      </x:c>
      <x:c r="J35" s="3" t="n">
        <x:v>1980000</x:v>
      </x:c>
      <x:c r="K35" t="str"/>
    </x:row>
    <x:row r="36">
      <x:c r="A36" t="str">
        <x:v>2026-02</x:v>
      </x:c>
      <x:c r="B36" t="str">
        <x:v>부산센터</x:v>
      </x:c>
      <x:c r="C36" t="str">
        <x:v>초등 자기주도</x:v>
      </x:c>
      <x:c r="D36" t="str">
        <x:v>지인추천</x:v>
      </x:c>
      <x:c r="E36" t="n">
        <x:v>39</x:v>
      </x:c>
      <x:c r="F36" t="n">
        <x:v>16</x:v>
      </x:c>
      <x:c r="G36" t="n">
        <x:v>6</x:v>
      </x:c>
      <x:c r="H36" s="3" t="n">
        <x:v>3430000</x:v>
      </x:c>
      <x:c r="I36" s="3" t="n">
        <x:v>0</x:v>
      </x:c>
      <x:c r="J36" s="3" t="n">
        <x:v>100000</x:v>
      </x:c>
      <x:c r="K36" t="str"/>
    </x:row>
    <x:row r="37">
      <x:c r="A37" t="str">
        <x:v>2026-02</x:v>
      </x:c>
      <x:c r="B37" t="str">
        <x:v>부산센터</x:v>
      </x:c>
      <x:c r="C37" t="str">
        <x:v>학부모 코칭</x:v>
      </x:c>
      <x:c r="D37" t="str">
        <x:v>설명회</x:v>
      </x:c>
      <x:c r="E37" t="n">
        <x:v>75</x:v>
      </x:c>
      <x:c r="F37" t="n">
        <x:v>41</x:v>
      </x:c>
      <x:c r="G37" t="n">
        <x:v>15</x:v>
      </x:c>
      <x:c r="H37" s="3" t="n">
        <x:v>8040000</x:v>
      </x:c>
      <x:c r="I37" s="3" t="n">
        <x:v>0</x:v>
      </x:c>
      <x:c r="J37" s="3" t="n">
        <x:v>90000</x:v>
      </x:c>
      <x:c r="K37" t="str"/>
    </x:row>
    <x:row r="38">
      <x:c r="A38" t="str">
        <x:v>2026-03</x:v>
      </x:c>
      <x:c r="B38" t="str">
        <x:v>강남센터</x:v>
      </x:c>
      <x:c r="C38" t="str">
        <x:v>초등 자기주도</x:v>
      </x:c>
      <x:c r="D38" t="str">
        <x:v>홈페이지</x:v>
      </x:c>
      <x:c r="E38" t="n">
        <x:v>35</x:v>
      </x:c>
      <x:c r="F38" t="n">
        <x:v>15</x:v>
      </x:c>
      <x:c r="G38" t="n">
        <x:v>3</x:v>
      </x:c>
      <x:c r="H38" s="3" t="n">
        <x:v>1770000</x:v>
      </x:c>
      <x:c r="I38" s="3" t="n">
        <x:v>0</x:v>
      </x:c>
      <x:c r="J38" s="3" t="n">
        <x:v>120000</x:v>
      </x:c>
      <x:c r="K38" t="str"/>
    </x:row>
    <x:row r="39">
      <x:c r="A39" t="str">
        <x:v>2026-03</x:v>
      </x:c>
      <x:c r="B39" t="str">
        <x:v>강남센터</x:v>
      </x:c>
      <x:c r="C39" t="str">
        <x:v>학부모 코칭</x:v>
      </x:c>
      <x:c r="D39" t="str">
        <x:v>블로그</x:v>
      </x:c>
      <x:c r="E39" t="n">
        <x:v>64</x:v>
      </x:c>
      <x:c r="F39" t="n">
        <x:v>35</x:v>
      </x:c>
      <x:c r="G39" t="n">
        <x:v>14</x:v>
      </x:c>
      <x:c r="H39" s="3" t="n">
        <x:v>11930000</x:v>
      </x:c>
      <x:c r="I39" s="3" t="n">
        <x:v>2</x:v>
      </x:c>
      <x:c r="J39" s="3" t="n">
        <x:v>240000</x:v>
      </x:c>
      <x:c r="K39" t="str"/>
    </x:row>
    <x:row r="40">
      <x:c r="A40" t="str">
        <x:v>2026-03</x:v>
      </x:c>
      <x:c r="B40" t="str">
        <x:v>강남센터</x:v>
      </x:c>
      <x:c r="C40" t="str">
        <x:v>고등 입시</x:v>
      </x:c>
      <x:c r="D40" t="str">
        <x:v>카카오채널</x:v>
      </x:c>
      <x:c r="E40" t="n">
        <x:v>60</x:v>
      </x:c>
      <x:c r="F40" t="n">
        <x:v>26</x:v>
      </x:c>
      <x:c r="G40" t="n">
        <x:v>7</x:v>
      </x:c>
      <x:c r="H40" s="3" t="n">
        <x:v>6960000</x:v>
      </x:c>
      <x:c r="I40" s="3" t="n">
        <x:v>1</x:v>
      </x:c>
      <x:c r="J40" s="3" t="n">
        <x:v>170000</x:v>
      </x:c>
      <x:c r="K40" t="str"/>
    </x:row>
    <x:row r="41">
      <x:c r="A41" t="str">
        <x:v>2026-03</x:v>
      </x:c>
      <x:c r="B41" t="str">
        <x:v>강남센터</x:v>
      </x:c>
      <x:c r="C41" t="str">
        <x:v>중등 내신</x:v>
      </x:c>
      <x:c r="D41" t="str">
        <x:v>네이버광고</x:v>
      </x:c>
      <x:c r="E41" t="n">
        <x:v>54</x:v>
      </x:c>
      <x:c r="F41" t="n">
        <x:v>25</x:v>
      </x:c>
      <x:c r="G41" t="n">
        <x:v>8</x:v>
      </x:c>
      <x:c r="H41" s="3" t="n">
        <x:v>5340000</x:v>
      </x:c>
      <x:c r="I41" s="3" t="n">
        <x:v>0</x:v>
      </x:c>
      <x:c r="J41" s="3" t="n">
        <x:v>680000</x:v>
      </x:c>
      <x:c r="K41" t="str">
        <x:v>설명회 유입 포함</x:v>
      </x:c>
    </x:row>
    <x:row r="42">
      <x:c r="A42" t="str">
        <x:v>2026-03</x:v>
      </x:c>
      <x:c r="B42" t="str">
        <x:v>강남센터</x:v>
      </x:c>
      <x:c r="C42" t="str">
        <x:v>AI 학습관리</x:v>
      </x:c>
      <x:c r="D42" t="str">
        <x:v>지인추천</x:v>
      </x:c>
      <x:c r="E42" t="n">
        <x:v>100</x:v>
      </x:c>
      <x:c r="F42" t="n">
        <x:v>50</x:v>
      </x:c>
      <x:c r="G42" t="n">
        <x:v>20</x:v>
      </x:c>
      <x:c r="H42" s="3" t="n">
        <x:v>9920000</x:v>
      </x:c>
      <x:c r="I42" s="3" t="n">
        <x:v>0</x:v>
      </x:c>
      <x:c r="J42" s="3" t="n">
        <x:v>350000</x:v>
      </x:c>
      <x:c r="K42" t="str"/>
    </x:row>
    <x:row r="43">
      <x:c r="A43" t="str">
        <x:v>2026-03</x:v>
      </x:c>
      <x:c r="B43" t="str">
        <x:v>강남센터</x:v>
      </x:c>
      <x:c r="C43" t="str">
        <x:v>고등 입시</x:v>
      </x:c>
      <x:c r="D43" t="str">
        <x:v>설명회</x:v>
      </x:c>
      <x:c r="E43" t="n">
        <x:v>30</x:v>
      </x:c>
      <x:c r="F43" t="n">
        <x:v>20</x:v>
      </x:c>
      <x:c r="G43" t="n">
        <x:v>4</x:v>
      </x:c>
      <x:c r="H43" s="3" t="n">
        <x:v>2610000</x:v>
      </x:c>
      <x:c r="I43" s="3" t="n">
        <x:v>2</x:v>
      </x:c>
      <x:c r="J43" s="3" t="n">
        <x:v>70000</x:v>
      </x:c>
      <x:c r="K43" t="str"/>
    </x:row>
    <x:row r="44">
      <x:c r="A44" t="str">
        <x:v>2026-03</x:v>
      </x:c>
      <x:c r="B44" t="str">
        <x:v>분당센터</x:v>
      </x:c>
      <x:c r="C44" t="str">
        <x:v>중등 내신</x:v>
      </x:c>
      <x:c r="D44" t="str">
        <x:v>홈페이지</x:v>
      </x:c>
      <x:c r="E44" t="n">
        <x:v>59</x:v>
      </x:c>
      <x:c r="F44" t="n">
        <x:v>24</x:v>
      </x:c>
      <x:c r="G44" t="n">
        <x:v>5</x:v>
      </x:c>
      <x:c r="H44" s="3" t="n">
        <x:v>2440000</x:v>
      </x:c>
      <x:c r="I44" s="3" t="n">
        <x:v>0</x:v>
      </x:c>
      <x:c r="J44" s="3" t="n">
        <x:v>170000</x:v>
      </x:c>
      <x:c r="K44" t="str"/>
    </x:row>
    <x:row r="45">
      <x:c r="A45" t="str">
        <x:v>2026-03</x:v>
      </x:c>
      <x:c r="B45" t="str">
        <x:v>분당센터</x:v>
      </x:c>
      <x:c r="C45" t="str">
        <x:v>AI 학습관리</x:v>
      </x:c>
      <x:c r="D45" t="str">
        <x:v>블로그</x:v>
      </x:c>
      <x:c r="E45" t="n">
        <x:v>51</x:v>
      </x:c>
      <x:c r="F45" t="n">
        <x:v>33</x:v>
      </x:c>
      <x:c r="G45" t="n">
        <x:v>10</x:v>
      </x:c>
      <x:c r="H45" s="3" t="n">
        <x:v>5760000</x:v>
      </x:c>
      <x:c r="I45" s="3" t="n">
        <x:v>0</x:v>
      </x:c>
      <x:c r="J45" s="3" t="n">
        <x:v>190000</x:v>
      </x:c>
      <x:c r="K45" t="str"/>
    </x:row>
    <x:row r="46">
      <x:c r="A46" t="str">
        <x:v>2026-03</x:v>
      </x:c>
      <x:c r="B46" t="str">
        <x:v>분당센터</x:v>
      </x:c>
      <x:c r="C46" t="str">
        <x:v>고등 입시</x:v>
      </x:c>
      <x:c r="D46" t="str">
        <x:v>카카오채널</x:v>
      </x:c>
      <x:c r="E46" t="n">
        <x:v>81</x:v>
      </x:c>
      <x:c r="F46" t="n">
        <x:v>39</x:v>
      </x:c>
      <x:c r="G46" t="n">
        <x:v>13</x:v>
      </x:c>
      <x:c r="H46" s="3" t="n">
        <x:v>12520000</x:v>
      </x:c>
      <x:c r="I46" s="3" t="n">
        <x:v>0</x:v>
      </x:c>
      <x:c r="J46" s="3" t="n">
        <x:v>150000</x:v>
      </x:c>
      <x:c r="K46" t="str"/>
    </x:row>
    <x:row r="47">
      <x:c r="A47" t="str">
        <x:v>2026-03</x:v>
      </x:c>
      <x:c r="B47" t="str">
        <x:v>분당센터</x:v>
      </x:c>
      <x:c r="C47" t="str">
        <x:v>초등 자기주도</x:v>
      </x:c>
      <x:c r="D47" t="str">
        <x:v>네이버광고</x:v>
      </x:c>
      <x:c r="E47" t="n">
        <x:v>26</x:v>
      </x:c>
      <x:c r="F47" t="n">
        <x:v>13</x:v>
      </x:c>
      <x:c r="G47" t="n">
        <x:v>2</x:v>
      </x:c>
      <x:c r="H47" s="3" t="n">
        <x:v>1060000</x:v>
      </x:c>
      <x:c r="I47" s="3" t="n">
        <x:v>0</x:v>
      </x:c>
      <x:c r="J47" s="3" t="n">
        <x:v>370000</x:v>
      </x:c>
      <x:c r="K47" t="str"/>
    </x:row>
    <x:row r="48">
      <x:c r="A48" t="str">
        <x:v>2026-03</x:v>
      </x:c>
      <x:c r="B48" t="str">
        <x:v>분당센터</x:v>
      </x:c>
      <x:c r="C48" t="str">
        <x:v>학부모 코칭</x:v>
      </x:c>
      <x:c r="D48" t="str">
        <x:v>지인추천</x:v>
      </x:c>
      <x:c r="E48" t="n">
        <x:v>75</x:v>
      </x:c>
      <x:c r="F48" t="n">
        <x:v>42</x:v>
      </x:c>
      <x:c r="G48" t="n">
        <x:v>17</x:v>
      </x:c>
      <x:c r="H48" s="3" t="n">
        <x:v>9680000</x:v>
      </x:c>
      <x:c r="I48" s="3" t="n">
        <x:v>0</x:v>
      </x:c>
      <x:c r="J48" s="3" t="n">
        <x:v>110000</x:v>
      </x:c>
      <x:c r="K48" t="str"/>
    </x:row>
    <x:row r="49">
      <x:c r="A49" t="str">
        <x:v>2026-03</x:v>
      </x:c>
      <x:c r="B49" t="str">
        <x:v>분당센터</x:v>
      </x:c>
      <x:c r="C49" t="str">
        <x:v>중등 내신</x:v>
      </x:c>
      <x:c r="D49" t="str">
        <x:v>설명회</x:v>
      </x:c>
      <x:c r="E49" t="n">
        <x:v>79</x:v>
      </x:c>
      <x:c r="F49" t="n">
        <x:v>33</x:v>
      </x:c>
      <x:c r="G49" t="n">
        <x:v>8</x:v>
      </x:c>
      <x:c r="H49" s="3" t="n">
        <x:v>4250000</x:v>
      </x:c>
      <x:c r="I49" s="3" t="n">
        <x:v>0</x:v>
      </x:c>
      <x:c r="J49" s="3" t="n">
        <x:v>130000</x:v>
      </x:c>
      <x:c r="K49" t="str"/>
    </x:row>
    <x:row r="50">
      <x:c r="A50" t="str">
        <x:v>2026-03</x:v>
      </x:c>
      <x:c r="B50" t="str">
        <x:v>송파센터</x:v>
      </x:c>
      <x:c r="C50" t="str">
        <x:v>AI 학습관리</x:v>
      </x:c>
      <x:c r="D50" t="str">
        <x:v>홈페이지</x:v>
      </x:c>
      <x:c r="E50" t="n">
        <x:v>96</x:v>
      </x:c>
      <x:c r="F50" t="n">
        <x:v>51</x:v>
      </x:c>
      <x:c r="G50" t="n">
        <x:v>11</x:v>
      </x:c>
      <x:c r="H50" s="3" t="n">
        <x:v>7930000</x:v>
      </x:c>
      <x:c r="I50" s="3" t="n">
        <x:v>2</x:v>
      </x:c>
      <x:c r="J50" s="3" t="n">
        <x:v>130000</x:v>
      </x:c>
      <x:c r="K50" t="str"/>
    </x:row>
    <x:row r="51">
      <x:c r="A51" t="str">
        <x:v>2026-03</x:v>
      </x:c>
      <x:c r="B51" t="str">
        <x:v>송파센터</x:v>
      </x:c>
      <x:c r="C51" t="str">
        <x:v>학부모 코칭</x:v>
      </x:c>
      <x:c r="D51" t="str">
        <x:v>블로그</x:v>
      </x:c>
      <x:c r="E51" t="n">
        <x:v>52</x:v>
      </x:c>
      <x:c r="F51" t="n">
        <x:v>25</x:v>
      </x:c>
      <x:c r="G51" t="n">
        <x:v>5</x:v>
      </x:c>
      <x:c r="H51" s="3" t="n">
        <x:v>4150000</x:v>
      </x:c>
      <x:c r="I51" s="3" t="n">
        <x:v>2</x:v>
      </x:c>
      <x:c r="J51" s="3" t="n">
        <x:v>140000</x:v>
      </x:c>
      <x:c r="K51" t="str"/>
    </x:row>
    <x:row r="52">
      <x:c r="A52" t="str">
        <x:v>2026-03</x:v>
      </x:c>
      <x:c r="B52" t="str">
        <x:v>송파센터</x:v>
      </x:c>
      <x:c r="C52" t="str">
        <x:v>고등 입시</x:v>
      </x:c>
      <x:c r="D52" t="str">
        <x:v>카카오채널</x:v>
      </x:c>
      <x:c r="E52" t="n">
        <x:v>53</x:v>
      </x:c>
      <x:c r="F52" t="n">
        <x:v>31</x:v>
      </x:c>
      <x:c r="G52" t="n">
        <x:v>8</x:v>
      </x:c>
      <x:c r="H52" s="3" t="n">
        <x:v>4760000</x:v>
      </x:c>
      <x:c r="I52" s="3" t="n">
        <x:v>0</x:v>
      </x:c>
      <x:c r="J52" s="3" t="n">
        <x:v>100000</x:v>
      </x:c>
      <x:c r="K52" t="str"/>
    </x:row>
    <x:row r="53">
      <x:c r="A53" t="str">
        <x:v>2026-03</x:v>
      </x:c>
      <x:c r="B53" t="str">
        <x:v>송파센터</x:v>
      </x:c>
      <x:c r="C53" t="str">
        <x:v>초등 자기주도</x:v>
      </x:c>
      <x:c r="D53" t="str">
        <x:v>네이버광고</x:v>
      </x:c>
      <x:c r="E53" t="n">
        <x:v>45</x:v>
      </x:c>
      <x:c r="F53" t="n">
        <x:v>19</x:v>
      </x:c>
      <x:c r="G53" t="n">
        <x:v>7</x:v>
      </x:c>
      <x:c r="H53" s="3" t="n">
        <x:v>6580000</x:v>
      </x:c>
      <x:c r="I53" s="3" t="n">
        <x:v>0</x:v>
      </x:c>
      <x:c r="J53" s="3" t="n">
        <x:v>450000</x:v>
      </x:c>
      <x:c r="K53" t="str"/>
    </x:row>
    <x:row r="54">
      <x:c r="A54" t="str">
        <x:v>2026-03</x:v>
      </x:c>
      <x:c r="B54" t="str">
        <x:v>송파센터</x:v>
      </x:c>
      <x:c r="C54" t="str">
        <x:v>학부모 코칭</x:v>
      </x:c>
      <x:c r="D54" t="str">
        <x:v>지인추천</x:v>
      </x:c>
      <x:c r="E54" t="n">
        <x:v>36</x:v>
      </x:c>
      <x:c r="F54" t="n">
        <x:v>14</x:v>
      </x:c>
      <x:c r="G54" t="n">
        <x:v>7</x:v>
      </x:c>
      <x:c r="H54" s="3" t="n">
        <x:v>3610000</x:v>
      </x:c>
      <x:c r="I54" s="3" t="n">
        <x:v>0</x:v>
      </x:c>
      <x:c r="J54" s="3" t="n">
        <x:v>70000</x:v>
      </x:c>
      <x:c r="K54" t="str"/>
    </x:row>
    <x:row r="55">
      <x:c r="A55" t="str">
        <x:v>2026-03</x:v>
      </x:c>
      <x:c r="B55" t="str">
        <x:v>송파센터</x:v>
      </x:c>
      <x:c r="C55" t="str">
        <x:v>중등 내신</x:v>
      </x:c>
      <x:c r="D55" t="str">
        <x:v>설명회</x:v>
      </x:c>
      <x:c r="E55" t="n">
        <x:v>78</x:v>
      </x:c>
      <x:c r="F55" t="n">
        <x:v>50</x:v>
      </x:c>
      <x:c r="G55" t="n">
        <x:v>13</x:v>
      </x:c>
      <x:c r="H55" s="3" t="n">
        <x:v>10080000</x:v>
      </x:c>
      <x:c r="I55" s="3" t="n">
        <x:v>0</x:v>
      </x:c>
      <x:c r="J55" s="3" t="n">
        <x:v>180000</x:v>
      </x:c>
      <x:c r="K55" t="str"/>
    </x:row>
    <x:row r="56">
      <x:c r="A56" t="str">
        <x:v>2026-03</x:v>
      </x:c>
      <x:c r="B56" t="str">
        <x:v>목동센터</x:v>
      </x:c>
      <x:c r="C56" t="str">
        <x:v>AI 학습관리</x:v>
      </x:c>
      <x:c r="D56" t="str">
        <x:v>홈페이지</x:v>
      </x:c>
      <x:c r="E56" t="n">
        <x:v>62</x:v>
      </x:c>
      <x:c r="F56" t="n">
        <x:v>39</x:v>
      </x:c>
      <x:c r="G56" t="n">
        <x:v>7</x:v>
      </x:c>
      <x:c r="H56" s="3" t="n">
        <x:v>3870000</x:v>
      </x:c>
      <x:c r="I56" s="3" t="n">
        <x:v>0</x:v>
      </x:c>
      <x:c r="J56" s="3" t="n">
        <x:v>120000</x:v>
      </x:c>
      <x:c r="K56" t="str"/>
    </x:row>
    <x:row r="57">
      <x:c r="A57" t="str">
        <x:v>2026-03</x:v>
      </x:c>
      <x:c r="B57" t="str">
        <x:v>목동센터</x:v>
      </x:c>
      <x:c r="C57" t="str">
        <x:v>고등 입시</x:v>
      </x:c>
      <x:c r="D57" t="str">
        <x:v>블로그</x:v>
      </x:c>
      <x:c r="E57" t="n">
        <x:v>43</x:v>
      </x:c>
      <x:c r="F57" t="n">
        <x:v>28</x:v>
      </x:c>
      <x:c r="G57" t="n">
        <x:v>9</x:v>
      </x:c>
      <x:c r="H57" s="3" t="n">
        <x:v>5520000</x:v>
      </x:c>
      <x:c r="I57" s="3" t="n">
        <x:v>0</x:v>
      </x:c>
      <x:c r="J57" s="3" t="n">
        <x:v>70000</x:v>
      </x:c>
      <x:c r="K57" t="str"/>
    </x:row>
    <x:row r="58">
      <x:c r="A58" t="str">
        <x:v>2026-03</x:v>
      </x:c>
      <x:c r="B58" t="str">
        <x:v>목동센터</x:v>
      </x:c>
      <x:c r="C58" t="str">
        <x:v>초등 자기주도</x:v>
      </x:c>
      <x:c r="D58" t="str">
        <x:v>카카오채널</x:v>
      </x:c>
      <x:c r="E58" t="n">
        <x:v>94</x:v>
      </x:c>
      <x:c r="F58" t="n">
        <x:v>60</x:v>
      </x:c>
      <x:c r="G58" t="n">
        <x:v>18</x:v>
      </x:c>
      <x:c r="H58" s="3" t="n">
        <x:v>9990000</x:v>
      </x:c>
      <x:c r="I58" s="3" t="n">
        <x:v>0</x:v>
      </x:c>
      <x:c r="J58" s="3" t="n">
        <x:v>330000</x:v>
      </x:c>
      <x:c r="K58" t="str"/>
    </x:row>
    <x:row r="59">
      <x:c r="A59" t="str">
        <x:v>2026-03</x:v>
      </x:c>
      <x:c r="B59" t="str">
        <x:v>목동센터</x:v>
      </x:c>
      <x:c r="C59" t="str">
        <x:v>학부모 코칭</x:v>
      </x:c>
      <x:c r="D59" t="str">
        <x:v>네이버광고</x:v>
      </x:c>
      <x:c r="E59" t="n">
        <x:v>28</x:v>
      </x:c>
      <x:c r="F59" t="n">
        <x:v>19</x:v>
      </x:c>
      <x:c r="G59" t="n">
        <x:v>6</x:v>
      </x:c>
      <x:c r="H59" s="3" t="n">
        <x:v>4560000</x:v>
      </x:c>
      <x:c r="I59" s="3" t="n">
        <x:v>0</x:v>
      </x:c>
      <x:c r="J59" s="3" t="n">
        <x:v>500000</x:v>
      </x:c>
      <x:c r="K59" t="str"/>
    </x:row>
    <x:row r="60">
      <x:c r="A60" t="str">
        <x:v>2026-03</x:v>
      </x:c>
      <x:c r="B60" t="str">
        <x:v>목동센터</x:v>
      </x:c>
      <x:c r="C60" t="str">
        <x:v>중등 내신</x:v>
      </x:c>
      <x:c r="D60" t="str">
        <x:v>지인추천</x:v>
      </x:c>
      <x:c r="E60" t="n">
        <x:v>55</x:v>
      </x:c>
      <x:c r="F60" t="n">
        <x:v>37</x:v>
      </x:c>
      <x:c r="G60" t="n">
        <x:v>15</x:v>
      </x:c>
      <x:c r="H60" s="3" t="n">
        <x:v>10520000</x:v>
      </x:c>
      <x:c r="I60" s="3" t="n">
        <x:v>0</x:v>
      </x:c>
      <x:c r="J60" s="3" t="n">
        <x:v>110000</x:v>
      </x:c>
      <x:c r="K60" t="str">
        <x:v>설명회 유입 포함</x:v>
      </x:c>
    </x:row>
    <x:row r="61">
      <x:c r="A61" t="str">
        <x:v>2026-03</x:v>
      </x:c>
      <x:c r="B61" t="str">
        <x:v>목동센터</x:v>
      </x:c>
      <x:c r="C61" t="str">
        <x:v>AI 학습관리</x:v>
      </x:c>
      <x:c r="D61" t="str">
        <x:v>설명회</x:v>
      </x:c>
      <x:c r="E61" t="n">
        <x:v>80</x:v>
      </x:c>
      <x:c r="F61" t="n">
        <x:v>31</x:v>
      </x:c>
      <x:c r="G61" t="n">
        <x:v>13</x:v>
      </x:c>
      <x:c r="H61" s="3" t="n">
        <x:v>7270000</x:v>
      </x:c>
      <x:c r="I61" s="3" t="n">
        <x:v>0</x:v>
      </x:c>
      <x:c r="J61" s="3" t="n">
        <x:v>180000</x:v>
      </x:c>
      <x:c r="K61" t="str"/>
    </x:row>
    <x:row r="62">
      <x:c r="A62" t="str">
        <x:v>2026-03</x:v>
      </x:c>
      <x:c r="B62" t="str">
        <x:v>대전센터</x:v>
      </x:c>
      <x:c r="C62" t="str">
        <x:v>고등 입시</x:v>
      </x:c>
      <x:c r="D62" t="str">
        <x:v>홈페이지</x:v>
      </x:c>
      <x:c r="E62" t="n">
        <x:v>82</x:v>
      </x:c>
      <x:c r="F62" t="n">
        <x:v>37</x:v>
      </x:c>
      <x:c r="G62" t="n">
        <x:v>9</x:v>
      </x:c>
      <x:c r="H62" s="3" t="n">
        <x:v>5150000</x:v>
      </x:c>
      <x:c r="I62" s="3" t="n">
        <x:v>0</x:v>
      </x:c>
      <x:c r="J62" s="3" t="n">
        <x:v>110000</x:v>
      </x:c>
      <x:c r="K62" t="str">
        <x:v>설명회 유입 포함</x:v>
      </x:c>
    </x:row>
    <x:row r="63">
      <x:c r="A63" t="str">
        <x:v>2026-03</x:v>
      </x:c>
      <x:c r="B63" t="str">
        <x:v>대전센터</x:v>
      </x:c>
      <x:c r="C63" t="str">
        <x:v>초등 자기주도</x:v>
      </x:c>
      <x:c r="D63" t="str">
        <x:v>블로그</x:v>
      </x:c>
      <x:c r="E63" t="n">
        <x:v>55</x:v>
      </x:c>
      <x:c r="F63" t="n">
        <x:v>29</x:v>
      </x:c>
      <x:c r="G63" t="n">
        <x:v>12</x:v>
      </x:c>
      <x:c r="H63" s="3" t="n">
        <x:v>7940000</x:v>
      </x:c>
      <x:c r="I63" s="3" t="n">
        <x:v>0</x:v>
      </x:c>
      <x:c r="J63" s="3" t="n">
        <x:v>130000</x:v>
      </x:c>
      <x:c r="K63" t="str"/>
    </x:row>
    <x:row r="64">
      <x:c r="A64" t="str">
        <x:v>2026-03</x:v>
      </x:c>
      <x:c r="B64" t="str">
        <x:v>대전센터</x:v>
      </x:c>
      <x:c r="C64" t="str">
        <x:v>학부모 코칭</x:v>
      </x:c>
      <x:c r="D64" t="str">
        <x:v>카카오채널</x:v>
      </x:c>
      <x:c r="E64" t="n">
        <x:v>94</x:v>
      </x:c>
      <x:c r="F64" t="n">
        <x:v>57</x:v>
      </x:c>
      <x:c r="G64" t="n">
        <x:v>25</x:v>
      </x:c>
      <x:c r="H64" s="3" t="n">
        <x:v>21460000</x:v>
      </x:c>
      <x:c r="I64" s="3" t="n">
        <x:v>0</x:v>
      </x:c>
      <x:c r="J64" s="3" t="n">
        <x:v>310000</x:v>
      </x:c>
      <x:c r="K64" t="str"/>
    </x:row>
    <x:row r="65">
      <x:c r="A65" t="str">
        <x:v>2026-03</x:v>
      </x:c>
      <x:c r="B65" t="str">
        <x:v>대전센터</x:v>
      </x:c>
      <x:c r="C65" t="str">
        <x:v>중등 내신</x:v>
      </x:c>
      <x:c r="D65" t="str">
        <x:v>네이버광고</x:v>
      </x:c>
      <x:c r="E65" t="n">
        <x:v>24</x:v>
      </x:c>
      <x:c r="F65" t="n">
        <x:v>15</x:v>
      </x:c>
      <x:c r="G65" t="n">
        <x:v>6</x:v>
      </x:c>
      <x:c r="H65" s="3" t="n">
        <x:v>3500000</x:v>
      </x:c>
      <x:c r="I65" s="3" t="n">
        <x:v>0</x:v>
      </x:c>
      <x:c r="J65" s="3" t="n">
        <x:v>420000</x:v>
      </x:c>
      <x:c r="K65" t="str"/>
    </x:row>
    <x:row r="66">
      <x:c r="A66" t="str">
        <x:v>2026-03</x:v>
      </x:c>
      <x:c r="B66" t="str">
        <x:v>대전센터</x:v>
      </x:c>
      <x:c r="C66" t="str">
        <x:v>AI 학습관리</x:v>
      </x:c>
      <x:c r="D66" t="str">
        <x:v>지인추천</x:v>
      </x:c>
      <x:c r="E66" t="n">
        <x:v>92</x:v>
      </x:c>
      <x:c r="F66" t="n">
        <x:v>39</x:v>
      </x:c>
      <x:c r="G66" t="n">
        <x:v>11</x:v>
      </x:c>
      <x:c r="H66" s="3" t="n">
        <x:v>10420000</x:v>
      </x:c>
      <x:c r="I66" s="3" t="n">
        <x:v>0</x:v>
      </x:c>
      <x:c r="J66" s="3" t="n">
        <x:v>300000</x:v>
      </x:c>
      <x:c r="K66" t="str"/>
    </x:row>
    <x:row r="67">
      <x:c r="A67" t="str">
        <x:v>2026-03</x:v>
      </x:c>
      <x:c r="B67" t="str">
        <x:v>대전센터</x:v>
      </x:c>
      <x:c r="C67" t="str">
        <x:v>고등 입시</x:v>
      </x:c>
      <x:c r="D67" t="str">
        <x:v>설명회</x:v>
      </x:c>
      <x:c r="E67" t="n">
        <x:v>90</x:v>
      </x:c>
      <x:c r="F67" t="n">
        <x:v>35</x:v>
      </x:c>
      <x:c r="G67" t="n">
        <x:v>8</x:v>
      </x:c>
      <x:c r="H67" s="3" t="n">
        <x:v>7410000</x:v>
      </x:c>
      <x:c r="I67" s="3" t="n">
        <x:v>1</x:v>
      </x:c>
      <x:c r="J67" s="3" t="n">
        <x:v>320000</x:v>
      </x:c>
      <x:c r="K67" t="str"/>
    </x:row>
    <x:row r="68">
      <x:c r="A68" t="str">
        <x:v>2026-03</x:v>
      </x:c>
      <x:c r="B68" t="str">
        <x:v>부산센터</x:v>
      </x:c>
      <x:c r="C68" t="str">
        <x:v>중등 내신</x:v>
      </x:c>
      <x:c r="D68" t="str">
        <x:v>홈페이지</x:v>
      </x:c>
      <x:c r="E68" t="n">
        <x:v>65</x:v>
      </x:c>
      <x:c r="F68" t="n">
        <x:v>26</x:v>
      </x:c>
      <x:c r="G68" t="n">
        <x:v>7</x:v>
      </x:c>
      <x:c r="H68" s="3" t="n">
        <x:v>6940000</x:v>
      </x:c>
      <x:c r="I68" s="3" t="n">
        <x:v>0</x:v>
      </x:c>
      <x:c r="J68" s="3" t="n">
        <x:v>170000</x:v>
      </x:c>
      <x:c r="K68" t="str"/>
    </x:row>
    <x:row r="69">
      <x:c r="A69" t="str">
        <x:v>2026-03</x:v>
      </x:c>
      <x:c r="B69" t="str">
        <x:v>부산센터</x:v>
      </x:c>
      <x:c r="C69" t="str">
        <x:v>AI 학습관리</x:v>
      </x:c>
      <x:c r="D69" t="str">
        <x:v>블로그</x:v>
      </x:c>
      <x:c r="E69" t="n">
        <x:v>58</x:v>
      </x:c>
      <x:c r="F69" t="n">
        <x:v>40</x:v>
      </x:c>
      <x:c r="G69" t="n">
        <x:v>11</x:v>
      </x:c>
      <x:c r="H69" s="3" t="n">
        <x:v>6900000</x:v>
      </x:c>
      <x:c r="I69" s="3" t="n">
        <x:v>0</x:v>
      </x:c>
      <x:c r="J69" s="3" t="n">
        <x:v>160000</x:v>
      </x:c>
      <x:c r="K69" t="str"/>
    </x:row>
    <x:row r="70">
      <x:c r="A70" t="str">
        <x:v>2026-03</x:v>
      </x:c>
      <x:c r="B70" t="str">
        <x:v>부산센터</x:v>
      </x:c>
      <x:c r="C70" t="str">
        <x:v>고등 입시</x:v>
      </x:c>
      <x:c r="D70" t="str">
        <x:v>카카오채널</x:v>
      </x:c>
      <x:c r="E70" t="n">
        <x:v>68</x:v>
      </x:c>
      <x:c r="F70" t="n">
        <x:v>30</x:v>
      </x:c>
      <x:c r="G70" t="n">
        <x:v>13</x:v>
      </x:c>
      <x:c r="H70" s="3" t="n">
        <x:v>7410000</x:v>
      </x:c>
      <x:c r="I70" s="3" t="n">
        <x:v>0</x:v>
      </x:c>
      <x:c r="J70" s="3" t="n">
        <x:v>130000</x:v>
      </x:c>
      <x:c r="K70" t="str"/>
    </x:row>
    <x:row r="71">
      <x:c r="A71" t="str">
        <x:v>2026-03</x:v>
      </x:c>
      <x:c r="B71" t="str">
        <x:v>부산센터</x:v>
      </x:c>
      <x:c r="C71" t="str">
        <x:v>초등 자기주도</x:v>
      </x:c>
      <x:c r="D71" t="str">
        <x:v>네이버광고</x:v>
      </x:c>
      <x:c r="E71" t="n">
        <x:v>38</x:v>
      </x:c>
      <x:c r="F71" t="n">
        <x:v>21</x:v>
      </x:c>
      <x:c r="G71" t="n">
        <x:v>10</x:v>
      </x:c>
      <x:c r="H71" s="3" t="n">
        <x:v>5020000</x:v>
      </x:c>
      <x:c r="I71" s="3" t="n">
        <x:v>0</x:v>
      </x:c>
      <x:c r="J71" s="3" t="n">
        <x:v>530000</x:v>
      </x:c>
      <x:c r="K71" t="str"/>
    </x:row>
    <x:row r="72">
      <x:c r="A72" t="str">
        <x:v>2026-03</x:v>
      </x:c>
      <x:c r="B72" t="str">
        <x:v>부산센터</x:v>
      </x:c>
      <x:c r="C72" t="str">
        <x:v>학부모 코칭</x:v>
      </x:c>
      <x:c r="D72" t="str">
        <x:v>지인추천</x:v>
      </x:c>
      <x:c r="E72" t="n">
        <x:v>58</x:v>
      </x:c>
      <x:c r="F72" t="n">
        <x:v>23</x:v>
      </x:c>
      <x:c r="G72" t="n">
        <x:v>7</x:v>
      </x:c>
      <x:c r="H72" s="3" t="n">
        <x:v>6150000</x:v>
      </x:c>
      <x:c r="I72" s="3" t="n">
        <x:v>0</x:v>
      </x:c>
      <x:c r="J72" s="3" t="n">
        <x:v>180000</x:v>
      </x:c>
      <x:c r="K72" t="str"/>
    </x:row>
    <x:row r="73">
      <x:c r="A73" t="str">
        <x:v>2026-03</x:v>
      </x:c>
      <x:c r="B73" t="str">
        <x:v>부산센터</x:v>
      </x:c>
      <x:c r="C73" t="str">
        <x:v>중등 내신</x:v>
      </x:c>
      <x:c r="D73" t="str">
        <x:v>설명회</x:v>
      </x:c>
      <x:c r="E73" t="n">
        <x:v>26</x:v>
      </x:c>
      <x:c r="F73" t="n">
        <x:v>15</x:v>
      </x:c>
      <x:c r="G73" t="n">
        <x:v>5</x:v>
      </x:c>
      <x:c r="H73" s="3" t="n">
        <x:v>4290000</x:v>
      </x:c>
      <x:c r="I73" s="3" t="n">
        <x:v>0</x:v>
      </x:c>
      <x:c r="J73" s="3" t="n">
        <x:v>40000</x:v>
      </x:c>
      <x:c r="K73" t="str">
        <x:v>센터명 표기 확인 필요</x:v>
      </x:c>
    </x:row>
    <x:row r="74">
      <x:c r="A74" t="str">
        <x:v>2026-04</x:v>
      </x:c>
      <x:c r="B74" t="str">
        <x:v>강남센터</x:v>
      </x:c>
      <x:c r="C74" t="str">
        <x:v>학부모 코칭</x:v>
      </x:c>
      <x:c r="D74" t="str">
        <x:v>홈페이지</x:v>
      </x:c>
      <x:c r="E74" t="n">
        <x:v>55</x:v>
      </x:c>
      <x:c r="F74" t="n">
        <x:v>22</x:v>
      </x:c>
      <x:c r="G74" t="n">
        <x:v>9</x:v>
      </x:c>
      <x:c r="H74" s="3" t="n">
        <x:v>6230000</x:v>
      </x:c>
      <x:c r="I74" s="3" t="n">
        <x:v>0</x:v>
      </x:c>
      <x:c r="J74" s="3" t="n">
        <x:v>210000</x:v>
      </x:c>
      <x:c r="K74" t="str"/>
    </x:row>
    <x:row r="75">
      <x:c r="A75" t="str">
        <x:v>2026-04</x:v>
      </x:c>
      <x:c r="B75" t="str">
        <x:v>강남센터</x:v>
      </x:c>
      <x:c r="C75" t="str">
        <x:v>중등 내신</x:v>
      </x:c>
      <x:c r="D75" t="str">
        <x:v>블로그</x:v>
      </x:c>
      <x:c r="E75" t="n">
        <x:v>29</x:v>
      </x:c>
      <x:c r="F75" t="n">
        <x:v>15</x:v>
      </x:c>
      <x:c r="G75" t="n">
        <x:v>6</x:v>
      </x:c>
      <x:c r="H75" s="3" t="n">
        <x:v>5910000</x:v>
      </x:c>
      <x:c r="I75" s="3" t="n">
        <x:v>0</x:v>
      </x:c>
      <x:c r="J75" s="3" t="n">
        <x:v>110000</x:v>
      </x:c>
      <x:c r="K75" t="str"/>
    </x:row>
    <x:row r="76">
      <x:c r="A76" t="str">
        <x:v>2026-04</x:v>
      </x:c>
      <x:c r="B76" t="str">
        <x:v>강남센터</x:v>
      </x:c>
      <x:c r="C76" t="str">
        <x:v>AI 학습관리</x:v>
      </x:c>
      <x:c r="D76" t="str">
        <x:v>카카오채널</x:v>
      </x:c>
      <x:c r="E76" t="n">
        <x:v>77</x:v>
      </x:c>
      <x:c r="F76" t="n">
        <x:v>45</x:v>
      </x:c>
      <x:c r="G76" t="n">
        <x:v>18</x:v>
      </x:c>
      <x:c r="H76" s="3" t="n">
        <x:v>10130000</x:v>
      </x:c>
      <x:c r="I76" s="3" t="n">
        <x:v>0</x:v>
      </x:c>
      <x:c r="J76" s="3" t="n">
        <x:v>120000</x:v>
      </x:c>
      <x:c r="K76" t="str"/>
    </x:row>
    <x:row r="77">
      <x:c r="A77" t="str">
        <x:v>2026-04</x:v>
      </x:c>
      <x:c r="B77" t="str">
        <x:v>강남센터</x:v>
      </x:c>
      <x:c r="C77" t="str">
        <x:v>고등 입시</x:v>
      </x:c>
      <x:c r="D77" t="str">
        <x:v>네이버광고</x:v>
      </x:c>
      <x:c r="E77" t="n">
        <x:v>34</x:v>
      </x:c>
      <x:c r="F77" t="n">
        <x:v>22</x:v>
      </x:c>
      <x:c r="G77" t="n">
        <x:v>9</x:v>
      </x:c>
      <x:c r="H77" s="3" t="n">
        <x:v>7300000</x:v>
      </x:c>
      <x:c r="I77" s="3" t="n">
        <x:v>0</x:v>
      </x:c>
      <x:c r="J77" s="3" t="n">
        <x:v>340000</x:v>
      </x:c>
      <x:c r="K77" t="str"/>
    </x:row>
    <x:row r="78">
      <x:c r="A78" t="str">
        <x:v>2026-04</x:v>
      </x:c>
      <x:c r="B78" t="str">
        <x:v>강남센터</x:v>
      </x:c>
      <x:c r="C78" t="str">
        <x:v>초등 자기주도</x:v>
      </x:c>
      <x:c r="D78" t="str">
        <x:v>지인추천</x:v>
      </x:c>
      <x:c r="E78" t="n">
        <x:v>52</x:v>
      </x:c>
      <x:c r="F78" t="n">
        <x:v>33</x:v>
      </x:c>
      <x:c r="G78" t="n">
        <x:v>7</x:v>
      </x:c>
      <x:c r="H78" s="3" t="n">
        <x:v>4670000</x:v>
      </x:c>
      <x:c r="I78" s="3" t="n">
        <x:v>0</x:v>
      </x:c>
      <x:c r="J78" s="3" t="n">
        <x:v>160000</x:v>
      </x:c>
      <x:c r="K78" t="str"/>
    </x:row>
    <x:row r="79">
      <x:c r="A79" t="str">
        <x:v>2026-04</x:v>
      </x:c>
      <x:c r="B79" t="str">
        <x:v>강남센터</x:v>
      </x:c>
      <x:c r="C79" t="str">
        <x:v>학부모 코칭</x:v>
      </x:c>
      <x:c r="D79" t="str">
        <x:v>설명회</x:v>
      </x:c>
      <x:c r="E79" t="n">
        <x:v>60</x:v>
      </x:c>
      <x:c r="F79" t="n">
        <x:v>37</x:v>
      </x:c>
      <x:c r="G79" t="n">
        <x:v>13</x:v>
      </x:c>
      <x:c r="H79" s="3" t="n">
        <x:v>10510000</x:v>
      </x:c>
      <x:c r="I79" s="3" t="n">
        <x:v>0</x:v>
      </x:c>
      <x:c r="J79" s="3" t="n">
        <x:v>130000</x:v>
      </x:c>
      <x:c r="K79" t="str">
        <x:v>센터명 표기 확인 필요</x:v>
      </x:c>
    </x:row>
    <x:row r="80">
      <x:c r="A80" t="str">
        <x:v>2026-04</x:v>
      </x:c>
      <x:c r="B80" t="str">
        <x:v>분당센터</x:v>
      </x:c>
      <x:c r="C80" t="str">
        <x:v>중등 내신</x:v>
      </x:c>
      <x:c r="D80" t="str">
        <x:v>홈페이지</x:v>
      </x:c>
      <x:c r="E80" t="n">
        <x:v>81</x:v>
      </x:c>
      <x:c r="F80" t="n">
        <x:v>43</x:v>
      </x:c>
      <x:c r="G80" t="n">
        <x:v>17</x:v>
      </x:c>
      <x:c r="H80" s="3" t="n">
        <x:v>14930000</x:v>
      </x:c>
      <x:c r="I80" s="3" t="n">
        <x:v>0</x:v>
      </x:c>
      <x:c r="J80" s="3" t="n">
        <x:v>270000</x:v>
      </x:c>
      <x:c r="K80" t="str"/>
    </x:row>
    <x:row r="81">
      <x:c r="A81" t="str">
        <x:v>2026-04</x:v>
      </x:c>
      <x:c r="B81" t="str">
        <x:v>분당센터</x:v>
      </x:c>
      <x:c r="C81" t="str">
        <x:v>AI 학습관리</x:v>
      </x:c>
      <x:c r="D81" t="str">
        <x:v>블로그</x:v>
      </x:c>
      <x:c r="E81" t="n">
        <x:v>40</x:v>
      </x:c>
      <x:c r="F81" t="n">
        <x:v>26</x:v>
      </x:c>
      <x:c r="G81" t="n">
        <x:v>11</x:v>
      </x:c>
      <x:c r="H81" s="3" t="n">
        <x:v>10310000</x:v>
      </x:c>
      <x:c r="I81" s="3" t="n">
        <x:v>0</x:v>
      </x:c>
      <x:c r="J81" s="3" t="n">
        <x:v>100000</x:v>
      </x:c>
      <x:c r="K81" t="str"/>
    </x:row>
    <x:row r="82">
      <x:c r="A82" t="str">
        <x:v>2026-04</x:v>
      </x:c>
      <x:c r="B82" t="str">
        <x:v>분당센터</x:v>
      </x:c>
      <x:c r="C82" t="str">
        <x:v>고등 입시</x:v>
      </x:c>
      <x:c r="D82" t="str">
        <x:v>카카오채널</x:v>
      </x:c>
      <x:c r="E82" t="n">
        <x:v>89</x:v>
      </x:c>
      <x:c r="F82" t="n">
        <x:v>45</x:v>
      </x:c>
      <x:c r="G82" t="n">
        <x:v>18</x:v>
      </x:c>
      <x:c r="H82" s="3" t="n">
        <x:v>14590000</x:v>
      </x:c>
      <x:c r="I82" s="3" t="n">
        <x:v>0</x:v>
      </x:c>
      <x:c r="J82" s="3" t="n">
        <x:v>290000</x:v>
      </x:c>
      <x:c r="K82" t="str"/>
    </x:row>
    <x:row r="83">
      <x:c r="A83" t="str">
        <x:v>2026-04</x:v>
      </x:c>
      <x:c r="B83" t="str">
        <x:v>분당센터</x:v>
      </x:c>
      <x:c r="C83" t="str">
        <x:v>초등 자기주도</x:v>
      </x:c>
      <x:c r="D83" t="str">
        <x:v>네이버광고</x:v>
      </x:c>
      <x:c r="E83" t="n">
        <x:v>69</x:v>
      </x:c>
      <x:c r="F83" t="n">
        <x:v>35</x:v>
      </x:c>
      <x:c r="G83" t="n">
        <x:v>9</x:v>
      </x:c>
      <x:c r="H83" s="3" t="n">
        <x:v>5310000</x:v>
      </x:c>
      <x:c r="I83" s="3" t="n">
        <x:v>0</x:v>
      </x:c>
      <x:c r="J83" s="3" t="n">
        <x:v>790000</x:v>
      </x:c>
      <x:c r="K83" t="str">
        <x:v>설명회 유입 포함</x:v>
      </x:c>
    </x:row>
    <x:row r="84">
      <x:c r="A84" t="str">
        <x:v>2026-04</x:v>
      </x:c>
      <x:c r="B84" t="str">
        <x:v>분당센터</x:v>
      </x:c>
      <x:c r="C84" t="str">
        <x:v>학부모 코칭</x:v>
      </x:c>
      <x:c r="D84" t="str">
        <x:v>지인추천</x:v>
      </x:c>
      <x:c r="E84" t="n">
        <x:v>86</x:v>
      </x:c>
      <x:c r="F84" t="n">
        <x:v>56</x:v>
      </x:c>
      <x:c r="G84" t="n">
        <x:v>14</x:v>
      </x:c>
      <x:c r="H84" s="3" t="n">
        <x:v>11480000</x:v>
      </x:c>
      <x:c r="I84" s="3" t="n">
        <x:v>0</x:v>
      </x:c>
      <x:c r="J84" s="3" t="n">
        <x:v>280000</x:v>
      </x:c>
      <x:c r="K84" t="str"/>
    </x:row>
    <x:row r="85">
      <x:c r="A85" t="str">
        <x:v>2026-04</x:v>
      </x:c>
      <x:c r="B85" t="str">
        <x:v>분당센터</x:v>
      </x:c>
      <x:c r="C85" t="str">
        <x:v>중등 내신</x:v>
      </x:c>
      <x:c r="D85" t="str">
        <x:v>설명회</x:v>
      </x:c>
      <x:c r="E85" t="n">
        <x:v>38</x:v>
      </x:c>
      <x:c r="F85" t="n">
        <x:v>16</x:v>
      </x:c>
      <x:c r="G85" t="n">
        <x:v>5</x:v>
      </x:c>
      <x:c r="H85" s="3" t="n">
        <x:v>3350000</x:v>
      </x:c>
      <x:c r="I85" s="3" t="n">
        <x:v>0</x:v>
      </x:c>
      <x:c r="J85" s="3" t="n">
        <x:v>130000</x:v>
      </x:c>
      <x:c r="K85" t="str"/>
    </x:row>
    <x:row r="86">
      <x:c r="A86" t="str">
        <x:v>2026-04</x:v>
      </x:c>
      <x:c r="B86" t="str">
        <x:v>송파센터</x:v>
      </x:c>
      <x:c r="C86" t="str">
        <x:v>AI 학습관리</x:v>
      </x:c>
      <x:c r="D86" t="str">
        <x:v>홈페이지</x:v>
      </x:c>
      <x:c r="E86" t="n">
        <x:v>25</x:v>
      </x:c>
      <x:c r="F86" t="n">
        <x:v>12</x:v>
      </x:c>
      <x:c r="G86" t="n">
        <x:v>4</x:v>
      </x:c>
      <x:c r="H86" s="3" t="n">
        <x:v>3510000</x:v>
      </x:c>
      <x:c r="I86" s="3" t="n">
        <x:v>0</x:v>
      </x:c>
      <x:c r="J86" s="3" t="n">
        <x:v>70000</x:v>
      </x:c>
      <x:c r="K86" t="str"/>
    </x:row>
    <x:row r="87">
      <x:c r="A87" t="str">
        <x:v>2026-04</x:v>
      </x:c>
      <x:c r="B87" t="str">
        <x:v>송파센터</x:v>
      </x:c>
      <x:c r="C87" t="str">
        <x:v>고등 입시</x:v>
      </x:c>
      <x:c r="D87" t="str">
        <x:v>블로그</x:v>
      </x:c>
      <x:c r="E87" t="n">
        <x:v>52</x:v>
      </x:c>
      <x:c r="F87" t="n">
        <x:v>22</x:v>
      </x:c>
      <x:c r="G87" t="n">
        <x:v>9</x:v>
      </x:c>
      <x:c r="H87" s="3" t="n">
        <x:v>6690000</x:v>
      </x:c>
      <x:c r="I87" s="3" t="n">
        <x:v>0</x:v>
      </x:c>
      <x:c r="J87" s="3" t="n">
        <x:v>110000</x:v>
      </x:c>
      <x:c r="K87" t="str"/>
    </x:row>
    <x:row r="88">
      <x:c r="A88" t="str">
        <x:v>2026-04</x:v>
      </x:c>
      <x:c r="B88" t="str">
        <x:v>송파센터</x:v>
      </x:c>
      <x:c r="C88" t="str">
        <x:v>초등 자기주도</x:v>
      </x:c>
      <x:c r="D88" t="str">
        <x:v>카카오채널</x:v>
      </x:c>
      <x:c r="E88" t="n">
        <x:v>70</x:v>
      </x:c>
      <x:c r="F88" t="n">
        <x:v>42</x:v>
      </x:c>
      <x:c r="G88" t="n">
        <x:v>19</x:v>
      </x:c>
      <x:c r="H88" s="3" t="n">
        <x:v>13280000</x:v>
      </x:c>
      <x:c r="I88" s="3" t="n">
        <x:v>0</x:v>
      </x:c>
      <x:c r="J88" s="3" t="n">
        <x:v>190000</x:v>
      </x:c>
      <x:c r="K88" t="str"/>
    </x:row>
    <x:row r="89">
      <x:c r="A89" t="str">
        <x:v>2026-04</x:v>
      </x:c>
      <x:c r="B89" t="str">
        <x:v>송파센터</x:v>
      </x:c>
      <x:c r="C89" t="str">
        <x:v>학부모 코칭</x:v>
      </x:c>
      <x:c r="D89" t="str">
        <x:v>네이버광고</x:v>
      </x:c>
      <x:c r="E89" t="n">
        <x:v>38</x:v>
      </x:c>
      <x:c r="F89" t="n">
        <x:v>18</x:v>
      </x:c>
      <x:c r="G89" t="n">
        <x:v>6</x:v>
      </x:c>
      <x:c r="H89" s="3" t="n">
        <x:v>4270000</x:v>
      </x:c>
      <x:c r="I89" s="3" t="n">
        <x:v>0</x:v>
      </x:c>
      <x:c r="J89" s="3" t="n">
        <x:v>710000</x:v>
      </x:c>
      <x:c r="K89" t="str"/>
    </x:row>
    <x:row r="90">
      <x:c r="A90" t="str">
        <x:v>2026-04</x:v>
      </x:c>
      <x:c r="B90" t="str">
        <x:v>송파센터</x:v>
      </x:c>
      <x:c r="C90" t="str">
        <x:v>중등 내신</x:v>
      </x:c>
      <x:c r="D90" t="str">
        <x:v>지인추천</x:v>
      </x:c>
      <x:c r="E90" t="n">
        <x:v>53</x:v>
      </x:c>
      <x:c r="F90" t="n">
        <x:v>37</x:v>
      </x:c>
      <x:c r="G90" t="n">
        <x:v>7</x:v>
      </x:c>
      <x:c r="H90" s="3" t="n">
        <x:v>4140000</x:v>
      </x:c>
      <x:c r="I90" s="3" t="n">
        <x:v>0</x:v>
      </x:c>
      <x:c r="J90" s="3" t="n">
        <x:v>140000</x:v>
      </x:c>
      <x:c r="K90" t="str"/>
    </x:row>
    <x:row r="91">
      <x:c r="A91" t="str">
        <x:v>2026-04</x:v>
      </x:c>
      <x:c r="B91" t="str">
        <x:v>송파센터</x:v>
      </x:c>
      <x:c r="C91" t="str">
        <x:v>AI 학습관리</x:v>
      </x:c>
      <x:c r="D91" t="str">
        <x:v>설명회</x:v>
      </x:c>
      <x:c r="E91" t="n">
        <x:v>51</x:v>
      </x:c>
      <x:c r="F91" t="n">
        <x:v>34</x:v>
      </x:c>
      <x:c r="G91" t="n">
        <x:v>6</x:v>
      </x:c>
      <x:c r="H91" s="3" t="n">
        <x:v>4640000</x:v>
      </x:c>
      <x:c r="I91" s="3" t="n">
        <x:v>0</x:v>
      </x:c>
      <x:c r="J91" s="3" t="n">
        <x:v>90000</x:v>
      </x:c>
      <x:c r="K91" t="str"/>
    </x:row>
    <x:row r="92">
      <x:c r="A92" t="str">
        <x:v>2026-04</x:v>
      </x:c>
      <x:c r="B92" t="str">
        <x:v>목동센터</x:v>
      </x:c>
      <x:c r="C92" t="str">
        <x:v>고등 입시</x:v>
      </x:c>
      <x:c r="D92" t="str">
        <x:v>홈페이지</x:v>
      </x:c>
      <x:c r="E92" t="n">
        <x:v>36</x:v>
      </x:c>
      <x:c r="F92" t="n">
        <x:v>17</x:v>
      </x:c>
      <x:c r="G92" t="n">
        <x:v>7</x:v>
      </x:c>
      <x:c r="H92" s="3" t="n">
        <x:v>3940000</x:v>
      </x:c>
      <x:c r="I92" s="3" t="n">
        <x:v>0</x:v>
      </x:c>
      <x:c r="J92" s="3" t="n">
        <x:v>120000</x:v>
      </x:c>
      <x:c r="K92" t="str"/>
    </x:row>
    <x:row r="93">
      <x:c r="A93" t="str">
        <x:v>2026-04</x:v>
      </x:c>
      <x:c r="B93" t="str">
        <x:v>목동센터</x:v>
      </x:c>
      <x:c r="C93" t="str">
        <x:v>초등 자기주도</x:v>
      </x:c>
      <x:c r="D93" t="str">
        <x:v>블로그</x:v>
      </x:c>
      <x:c r="E93" t="n">
        <x:v>70</x:v>
      </x:c>
      <x:c r="F93" t="n">
        <x:v>28</x:v>
      </x:c>
      <x:c r="G93" t="n">
        <x:v>15</x:v>
      </x:c>
      <x:c r="H93" s="3" t="n">
        <x:v>12130000</x:v>
      </x:c>
      <x:c r="I93" s="3" t="n">
        <x:v>0</x:v>
      </x:c>
      <x:c r="J93" s="3" t="n">
        <x:v>120000</x:v>
      </x:c>
      <x:c r="K93" t="str"/>
    </x:row>
    <x:row r="94">
      <x:c r="A94" t="str">
        <x:v>2026-04</x:v>
      </x:c>
      <x:c r="B94" t="str">
        <x:v>목동센터</x:v>
      </x:c>
      <x:c r="C94" t="str">
        <x:v>학부모 코칭</x:v>
      </x:c>
      <x:c r="D94" t="str">
        <x:v>카카오채널</x:v>
      </x:c>
      <x:c r="E94" t="n">
        <x:v>91</x:v>
      </x:c>
      <x:c r="F94" t="n">
        <x:v>55</x:v>
      </x:c>
      <x:c r="G94" t="n">
        <x:v>15</x:v>
      </x:c>
      <x:c r="H94" s="3" t="n">
        <x:v>12360000</x:v>
      </x:c>
      <x:c r="I94" s="3" t="n">
        <x:v>1</x:v>
      </x:c>
      <x:c r="J94" s="3" t="n">
        <x:v>330000</x:v>
      </x:c>
      <x:c r="K94" t="str"/>
    </x:row>
    <x:row r="95">
      <x:c r="A95" t="str">
        <x:v>2026-04</x:v>
      </x:c>
      <x:c r="B95" t="str">
        <x:v>목동센터</x:v>
      </x:c>
      <x:c r="C95" t="str">
        <x:v>고등 입시</x:v>
      </x:c>
      <x:c r="D95" t="str">
        <x:v>네이버광고</x:v>
      </x:c>
      <x:c r="E95" t="n">
        <x:v>95</x:v>
      </x:c>
      <x:c r="F95" t="n">
        <x:v>47</x:v>
      </x:c>
      <x:c r="G95" t="n">
        <x:v>10</x:v>
      </x:c>
      <x:c r="H95" s="3" t="n">
        <x:v>8990000</x:v>
      </x:c>
      <x:c r="I95" s="3" t="n">
        <x:v>0</x:v>
      </x:c>
      <x:c r="J95" s="3" t="n">
        <x:v>900000</x:v>
      </x:c>
      <x:c r="K95" t="str"/>
    </x:row>
    <x:row r="96">
      <x:c r="A96" t="str">
        <x:v>2026-04</x:v>
      </x:c>
      <x:c r="B96" t="str">
        <x:v>목동센터</x:v>
      </x:c>
      <x:c r="C96" t="str">
        <x:v>초등 자기주도</x:v>
      </x:c>
      <x:c r="D96" t="str">
        <x:v>지인추천</x:v>
      </x:c>
      <x:c r="E96" t="n">
        <x:v>96</x:v>
      </x:c>
      <x:c r="F96" t="n">
        <x:v>40</x:v>
      </x:c>
      <x:c r="G96" t="n">
        <x:v>18</x:v>
      </x:c>
      <x:c r="H96" s="3" t="n">
        <x:v>16350000</x:v>
      </x:c>
      <x:c r="I96" s="3" t="n">
        <x:v>0</x:v>
      </x:c>
      <x:c r="J96" s="3" t="n">
        <x:v>320000</x:v>
      </x:c>
      <x:c r="K96" t="str"/>
    </x:row>
    <x:row r="97">
      <x:c r="A97" t="str">
        <x:v>2026-04</x:v>
      </x:c>
      <x:c r="B97" t="str">
        <x:v>목동센터</x:v>
      </x:c>
      <x:c r="C97" t="str">
        <x:v>학부모 코칭</x:v>
      </x:c>
      <x:c r="D97" t="str">
        <x:v>설명회</x:v>
      </x:c>
      <x:c r="E97" t="n">
        <x:v>77</x:v>
      </x:c>
      <x:c r="F97" t="n">
        <x:v>29</x:v>
      </x:c>
      <x:c r="G97" t="n">
        <x:v>14</x:v>
      </x:c>
      <x:c r="H97" s="3" t="n">
        <x:v>8450000</x:v>
      </x:c>
      <x:c r="I97" s="3" t="n">
        <x:v>3</x:v>
      </x:c>
      <x:c r="J97" s="3" t="n">
        <x:v>150000</x:v>
      </x:c>
      <x:c r="K97" t="str"/>
    </x:row>
    <x:row r="98">
      <x:c r="A98" t="str">
        <x:v>2026-04</x:v>
      </x:c>
      <x:c r="B98" t="str">
        <x:v>대전센터</x:v>
      </x:c>
      <x:c r="C98" t="str">
        <x:v>고등 입시</x:v>
      </x:c>
      <x:c r="D98" t="str">
        <x:v>홈페이지</x:v>
      </x:c>
      <x:c r="E98" t="n">
        <x:v>71</x:v>
      </x:c>
      <x:c r="F98" t="n">
        <x:v>44</x:v>
      </x:c>
      <x:c r="G98" t="n">
        <x:v>14</x:v>
      </x:c>
      <x:c r="H98" s="3" t="n">
        <x:v>11310000</x:v>
      </x:c>
      <x:c r="I98" s="3" t="n">
        <x:v>0</x:v>
      </x:c>
      <x:c r="J98" s="3" t="n">
        <x:v>230000</x:v>
      </x:c>
      <x:c r="K98" t="str"/>
    </x:row>
    <x:row r="99">
      <x:c r="A99" t="str">
        <x:v>2026-04</x:v>
      </x:c>
      <x:c r="B99" t="str">
        <x:v>대전센터</x:v>
      </x:c>
      <x:c r="C99" t="str">
        <x:v>초등 자기주도</x:v>
      </x:c>
      <x:c r="D99" t="str">
        <x:v>블로그</x:v>
      </x:c>
      <x:c r="E99" t="n">
        <x:v>72</x:v>
      </x:c>
      <x:c r="F99" t="n">
        <x:v>28</x:v>
      </x:c>
      <x:c r="G99" t="n">
        <x:v>12</x:v>
      </x:c>
      <x:c r="H99" s="3" t="n">
        <x:v>9520000</x:v>
      </x:c>
      <x:c r="I99" s="3" t="n">
        <x:v>0</x:v>
      </x:c>
      <x:c r="J99" s="3" t="n">
        <x:v>260000</x:v>
      </x:c>
      <x:c r="K99" t="str"/>
    </x:row>
    <x:row r="100">
      <x:c r="A100" t="str">
        <x:v>2026-04</x:v>
      </x:c>
      <x:c r="B100" t="str">
        <x:v>대전센터</x:v>
      </x:c>
      <x:c r="C100" t="str">
        <x:v>학부모 코칭</x:v>
      </x:c>
      <x:c r="D100" t="str">
        <x:v>카카오채널</x:v>
      </x:c>
      <x:c r="E100" t="n">
        <x:v>49</x:v>
      </x:c>
      <x:c r="F100" t="n">
        <x:v>26</x:v>
      </x:c>
      <x:c r="G100" t="n">
        <x:v>10</x:v>
      </x:c>
      <x:c r="H100" s="3" t="n">
        <x:v>6270000</x:v>
      </x:c>
      <x:c r="I100" s="3" t="n">
        <x:v>0</x:v>
      </x:c>
      <x:c r="J100" s="3" t="n">
        <x:v>160000</x:v>
      </x:c>
      <x:c r="K100" t="str"/>
    </x:row>
    <x:row r="101">
      <x:c r="A101" t="str">
        <x:v>2026-04</x:v>
      </x:c>
      <x:c r="B101" t="str">
        <x:v>대전센터</x:v>
      </x:c>
      <x:c r="C101" t="str">
        <x:v>중등 내신</x:v>
      </x:c>
      <x:c r="D101" t="str">
        <x:v>네이버광고</x:v>
      </x:c>
      <x:c r="E101" t="n">
        <x:v>36</x:v>
      </x:c>
      <x:c r="F101" t="n">
        <x:v>19</x:v>
      </x:c>
      <x:c r="G101" t="n">
        <x:v>6</x:v>
      </x:c>
      <x:c r="H101" s="3" t="n">
        <x:v>5560000</x:v>
      </x:c>
      <x:c r="I101" s="3" t="n">
        <x:v>0</x:v>
      </x:c>
      <x:c r="J101" s="3" t="n">
        <x:v>470000</x:v>
      </x:c>
      <x:c r="K101" t="str"/>
    </x:row>
    <x:row r="102">
      <x:c r="A102" t="str">
        <x:v>2026-04</x:v>
      </x:c>
      <x:c r="B102" t="str">
        <x:v>대전센터</x:v>
      </x:c>
      <x:c r="C102" t="str">
        <x:v>AI 학습관리</x:v>
      </x:c>
      <x:c r="D102" t="str">
        <x:v>지인추천</x:v>
      </x:c>
      <x:c r="E102" t="n">
        <x:v>42</x:v>
      </x:c>
      <x:c r="F102" t="n">
        <x:v>28</x:v>
      </x:c>
      <x:c r="G102" t="n">
        <x:v>10</x:v>
      </x:c>
      <x:c r="H102" s="3" t="n">
        <x:v>7260000</x:v>
      </x:c>
      <x:c r="I102" s="3" t="n">
        <x:v>0</x:v>
      </x:c>
      <x:c r="J102" s="3" t="n">
        <x:v>160000</x:v>
      </x:c>
      <x:c r="K102" t="str"/>
    </x:row>
    <x:row r="103">
      <x:c r="A103" t="str">
        <x:v>2026-04</x:v>
      </x:c>
      <x:c r="B103" t="str">
        <x:v>대전센터</x:v>
      </x:c>
      <x:c r="C103" t="str">
        <x:v>고등 입시</x:v>
      </x:c>
      <x:c r="D103" t="str">
        <x:v>설명회</x:v>
      </x:c>
      <x:c r="E103" t="n">
        <x:v>62</x:v>
      </x:c>
      <x:c r="F103" t="n">
        <x:v>28</x:v>
      </x:c>
      <x:c r="G103" t="n">
        <x:v>13</x:v>
      </x:c>
      <x:c r="H103" s="3" t="n">
        <x:v>7420000</x:v>
      </x:c>
      <x:c r="I103" s="3" t="n">
        <x:v>0</x:v>
      </x:c>
      <x:c r="J103" s="3" t="n">
        <x:v>90000</x:v>
      </x:c>
      <x:c r="K103" t="str"/>
    </x:row>
    <x:row r="104">
      <x:c r="A104" t="str">
        <x:v>2026-04</x:v>
      </x:c>
      <x:c r="B104" t="str">
        <x:v>부산센터</x:v>
      </x:c>
      <x:c r="C104" t="str">
        <x:v>초등 자기주도</x:v>
      </x:c>
      <x:c r="D104" t="str">
        <x:v>홈페이지</x:v>
      </x:c>
      <x:c r="E104" t="n">
        <x:v>74</x:v>
      </x:c>
      <x:c r="F104" t="n">
        <x:v>31</x:v>
      </x:c>
      <x:c r="G104" t="n">
        <x:v>6</x:v>
      </x:c>
      <x:c r="H104" s="3" t="n">
        <x:v>3700000</x:v>
      </x:c>
      <x:c r="I104" s="3" t="n">
        <x:v>0</x:v>
      </x:c>
      <x:c r="J104" s="3" t="n">
        <x:v>230000</x:v>
      </x:c>
      <x:c r="K104" t="str"/>
    </x:row>
    <x:row r="105">
      <x:c r="A105" t="str">
        <x:v>2026-04</x:v>
      </x:c>
      <x:c r="B105" t="str">
        <x:v>부산센터</x:v>
      </x:c>
      <x:c r="C105" t="str">
        <x:v>학부모 코칭</x:v>
      </x:c>
      <x:c r="D105" t="str">
        <x:v>블로그</x:v>
      </x:c>
      <x:c r="E105" t="n">
        <x:v>67</x:v>
      </x:c>
      <x:c r="F105" t="n">
        <x:v>38</x:v>
      </x:c>
      <x:c r="G105" t="n">
        <x:v>15</x:v>
      </x:c>
      <x:c r="H105" s="3" t="n">
        <x:v>9950000</x:v>
      </x:c>
      <x:c r="I105" s="3" t="n">
        <x:v>0</x:v>
      </x:c>
      <x:c r="J105" s="3" t="n">
        <x:v>100000</x:v>
      </x:c>
      <x:c r="K105" t="str">
        <x:v>설명회 유입 포함</x:v>
      </x:c>
    </x:row>
    <x:row r="106">
      <x:c r="A106" t="str">
        <x:v>2026-04</x:v>
      </x:c>
      <x:c r="B106" t="str">
        <x:v>부산센터</x:v>
      </x:c>
      <x:c r="C106" t="str">
        <x:v>중등 내신</x:v>
      </x:c>
      <x:c r="D106" t="str">
        <x:v>카카오채널</x:v>
      </x:c>
      <x:c r="E106" t="n">
        <x:v>76</x:v>
      </x:c>
      <x:c r="F106" t="n">
        <x:v>49</x:v>
      </x:c>
      <x:c r="G106" t="n">
        <x:v>21</x:v>
      </x:c>
      <x:c r="H106" s="3" t="n">
        <x:v>12020000</x:v>
      </x:c>
      <x:c r="I106" s="3" t="n">
        <x:v>0</x:v>
      </x:c>
      <x:c r="J106" s="3" t="n">
        <x:v>210000</x:v>
      </x:c>
      <x:c r="K106" t="str"/>
    </x:row>
    <x:row r="107">
      <x:c r="A107" t="str">
        <x:v>2026-04</x:v>
      </x:c>
      <x:c r="B107" t="str">
        <x:v>부산센터</x:v>
      </x:c>
      <x:c r="C107" t="str">
        <x:v>AI 학습관리</x:v>
      </x:c>
      <x:c r="D107" t="str">
        <x:v>네이버광고</x:v>
      </x:c>
      <x:c r="E107" t="n">
        <x:v>24</x:v>
      </x:c>
      <x:c r="F107" t="n">
        <x:v>11</x:v>
      </x:c>
      <x:c r="G107" t="n">
        <x:v>5</x:v>
      </x:c>
      <x:c r="H107" s="3" t="n">
        <x:v>4780000</x:v>
      </x:c>
      <x:c r="I107" s="3" t="n">
        <x:v>0</x:v>
      </x:c>
      <x:c r="J107" s="3" t="n">
        <x:v>390000</x:v>
      </x:c>
      <x:c r="K107" t="str"/>
    </x:row>
    <x:row r="108">
      <x:c r="A108" t="str">
        <x:v>2026-04</x:v>
      </x:c>
      <x:c r="B108" t="str">
        <x:v>부산센터</x:v>
      </x:c>
      <x:c r="C108" t="str">
        <x:v>고등 입시</x:v>
      </x:c>
      <x:c r="D108" t="str">
        <x:v>지인추천</x:v>
      </x:c>
      <x:c r="E108" t="n">
        <x:v>36</x:v>
      </x:c>
      <x:c r="F108" t="n">
        <x:v>19</x:v>
      </x:c>
      <x:c r="G108" t="n">
        <x:v>10</x:v>
      </x:c>
      <x:c r="H108" s="3" t="n">
        <x:v>9410000</x:v>
      </x:c>
      <x:c r="I108" s="3" t="n">
        <x:v>0</x:v>
      </x:c>
      <x:c r="J108" s="3" t="n">
        <x:v>140000</x:v>
      </x:c>
      <x:c r="K108" t="str"/>
    </x:row>
    <x:row r="109">
      <x:c r="A109" t="str">
        <x:v>2026-04</x:v>
      </x:c>
      <x:c r="B109" t="str">
        <x:v>부산센터</x:v>
      </x:c>
      <x:c r="C109" t="str">
        <x:v>초등 자기주도</x:v>
      </x:c>
      <x:c r="D109" t="str">
        <x:v>설명회</x:v>
      </x:c>
      <x:c r="E109" t="n">
        <x:v>47</x:v>
      </x:c>
      <x:c r="F109" t="n">
        <x:v>23</x:v>
      </x:c>
      <x:c r="G109" t="n">
        <x:v>9</x:v>
      </x:c>
      <x:c r="H109" s="3" t="n">
        <x:v>8240000</x:v>
      </x:c>
      <x:c r="I109" s="3" t="n">
        <x:v>0</x:v>
      </x:c>
      <x:c r="J109" s="3" t="n">
        <x:v>150000</x:v>
      </x:c>
      <x:c r="K109" t="str"/>
    </x:row>
    <x:row r="110">
      <x:c r="A110" t="str">
        <x:v>2026-05</x:v>
      </x:c>
      <x:c r="B110" t="str">
        <x:v>강남센터</x:v>
      </x:c>
      <x:c r="C110" t="str">
        <x:v>고등 입시</x:v>
      </x:c>
      <x:c r="D110" t="str">
        <x:v>홈페이지</x:v>
      </x:c>
      <x:c r="E110" t="n">
        <x:v>38</x:v>
      </x:c>
      <x:c r="F110" t="n">
        <x:v>18</x:v>
      </x:c>
      <x:c r="G110" t="n">
        <x:v>5</x:v>
      </x:c>
      <x:c r="H110" s="3" t="n">
        <x:v>2520000</x:v>
      </x:c>
      <x:c r="I110" s="3" t="n">
        <x:v>0</x:v>
      </x:c>
      <x:c r="J110" s="3" t="n">
        <x:v>130000</x:v>
      </x:c>
      <x:c r="K110" t="str"/>
    </x:row>
    <x:row r="111">
      <x:c r="A111" t="str">
        <x:v>2026-05</x:v>
      </x:c>
      <x:c r="B111" t="str">
        <x:v>강남센터</x:v>
      </x:c>
      <x:c r="C111" t="str">
        <x:v>초등 자기주도</x:v>
      </x:c>
      <x:c r="D111" t="str">
        <x:v>블로그</x:v>
      </x:c>
      <x:c r="E111" t="n">
        <x:v>63</x:v>
      </x:c>
      <x:c r="F111" t="n">
        <x:v>37</x:v>
      </x:c>
      <x:c r="G111" t="n">
        <x:v>9</x:v>
      </x:c>
      <x:c r="H111" s="3" t="n">
        <x:v>5090000</x:v>
      </x:c>
      <x:c r="I111" s="3" t="n">
        <x:v>0</x:v>
      </x:c>
      <x:c r="J111" s="3" t="n">
        <x:v>80000</x:v>
      </x:c>
      <x:c r="K111" t="str"/>
    </x:row>
    <x:row r="112">
      <x:c r="A112" t="str">
        <x:v>2026-05</x:v>
      </x:c>
      <x:c r="B112" t="str">
        <x:v>강남센터</x:v>
      </x:c>
      <x:c r="C112" t="str">
        <x:v>학부모 코칭</x:v>
      </x:c>
      <x:c r="D112" t="str">
        <x:v>카카오채널</x:v>
      </x:c>
      <x:c r="E112" t="n">
        <x:v>46</x:v>
      </x:c>
      <x:c r="F112" t="n">
        <x:v>32</x:v>
      </x:c>
      <x:c r="G112" t="n">
        <x:v>10</x:v>
      </x:c>
      <x:c r="H112" s="3" t="n">
        <x:v>5140000</x:v>
      </x:c>
      <x:c r="I112" s="3" t="n">
        <x:v>0</x:v>
      </x:c>
      <x:c r="J112" s="3" t="n">
        <x:v>150000</x:v>
      </x:c>
      <x:c r="K112" t="str"/>
    </x:row>
    <x:row r="113">
      <x:c r="A113" t="str">
        <x:v>2026-05</x:v>
      </x:c>
      <x:c r="B113" t="str">
        <x:v>강남센터</x:v>
      </x:c>
      <x:c r="C113" t="str">
        <x:v>중등 내신</x:v>
      </x:c>
      <x:c r="D113" t="str">
        <x:v>네이버광고</x:v>
      </x:c>
      <x:c r="E113" t="n">
        <x:v>78</x:v>
      </x:c>
      <x:c r="F113" t="n">
        <x:v>53</x:v>
      </x:c>
      <x:c r="G113" t="n">
        <x:v>26</x:v>
      </x:c>
      <x:c r="H113" s="3" t="n">
        <x:v>23240000</x:v>
      </x:c>
      <x:c r="I113" s="3" t="n">
        <x:v>0</x:v>
      </x:c>
      <x:c r="J113" s="3" t="n">
        <x:v>1060000</x:v>
      </x:c>
      <x:c r="K113" t="str"/>
    </x:row>
    <x:row r="114">
      <x:c r="A114" t="str">
        <x:v>2026-05</x:v>
      </x:c>
      <x:c r="B114" t="str">
        <x:v>강남센터</x:v>
      </x:c>
      <x:c r="C114" t="str">
        <x:v>AI 학습관리</x:v>
      </x:c>
      <x:c r="D114" t="str">
        <x:v>지인추천</x:v>
      </x:c>
      <x:c r="E114" t="n">
        <x:v>64</x:v>
      </x:c>
      <x:c r="F114" t="n">
        <x:v>45</x:v>
      </x:c>
      <x:c r="G114" t="n">
        <x:v>15</x:v>
      </x:c>
      <x:c r="H114" s="3" t="n">
        <x:v>10410000</x:v>
      </x:c>
      <x:c r="I114" s="3" t="n">
        <x:v>0</x:v>
      </x:c>
      <x:c r="J114" s="3" t="n">
        <x:v>240000</x:v>
      </x:c>
      <x:c r="K114" t="str"/>
    </x:row>
    <x:row r="115">
      <x:c r="A115" t="str">
        <x:v>2026-05</x:v>
      </x:c>
      <x:c r="B115" t="str">
        <x:v>강남센터</x:v>
      </x:c>
      <x:c r="C115" t="str">
        <x:v>고등 입시</x:v>
      </x:c>
      <x:c r="D115" t="str">
        <x:v>설명회</x:v>
      </x:c>
      <x:c r="E115" t="n">
        <x:v>49</x:v>
      </x:c>
      <x:c r="F115" t="n">
        <x:v>31</x:v>
      </x:c>
      <x:c r="G115" t="n">
        <x:v>8</x:v>
      </x:c>
      <x:c r="H115" s="3" t="n">
        <x:v>4490000</x:v>
      </x:c>
      <x:c r="I115" s="3" t="n">
        <x:v>0</x:v>
      </x:c>
      <x:c r="J115" s="3" t="n">
        <x:v>130000</x:v>
      </x:c>
      <x:c r="K115" t="str"/>
    </x:row>
    <x:row r="116">
      <x:c r="A116" t="str">
        <x:v>2026-05</x:v>
      </x:c>
      <x:c r="B116" t="str">
        <x:v>분당센터</x:v>
      </x:c>
      <x:c r="C116" t="str">
        <x:v>초등 자기주도</x:v>
      </x:c>
      <x:c r="D116" t="str">
        <x:v>홈페이지</x:v>
      </x:c>
      <x:c r="E116" t="n">
        <x:v>65</x:v>
      </x:c>
      <x:c r="F116" t="n">
        <x:v>37</x:v>
      </x:c>
      <x:c r="G116" t="n">
        <x:v>8</x:v>
      </x:c>
      <x:c r="H116" s="3" t="n">
        <x:v>6370000</x:v>
      </x:c>
      <x:c r="I116" s="3" t="n">
        <x:v>0</x:v>
      </x:c>
      <x:c r="J116" s="3" t="n">
        <x:v>90000</x:v>
      </x:c>
      <x:c r="K116" t="str">
        <x:v>설명회 유입 포함</x:v>
      </x:c>
    </x:row>
    <x:row r="117">
      <x:c r="A117" t="str">
        <x:v>2026-05</x:v>
      </x:c>
      <x:c r="B117" t="str">
        <x:v>분당센터</x:v>
      </x:c>
      <x:c r="C117" t="str">
        <x:v>학부모 코칭</x:v>
      </x:c>
      <x:c r="D117" t="str">
        <x:v>블로그</x:v>
      </x:c>
      <x:c r="E117" t="n">
        <x:v>62</x:v>
      </x:c>
      <x:c r="F117" t="n">
        <x:v>32</x:v>
      </x:c>
      <x:c r="G117" t="n">
        <x:v>17</x:v>
      </x:c>
      <x:c r="H117" s="3" t="n">
        <x:v>14120000</x:v>
      </x:c>
      <x:c r="I117" s="3" t="n">
        <x:v>0</x:v>
      </x:c>
      <x:c r="J117" s="3" t="n">
        <x:v>130000</x:v>
      </x:c>
      <x:c r="K117" t="str"/>
    </x:row>
    <x:row r="118">
      <x:c r="A118" t="str">
        <x:v>2026-05</x:v>
      </x:c>
      <x:c r="B118" t="str">
        <x:v>분당센터</x:v>
      </x:c>
      <x:c r="C118" t="str">
        <x:v>중등 내신</x:v>
      </x:c>
      <x:c r="D118" t="str">
        <x:v>카카오채널</x:v>
      </x:c>
      <x:c r="E118" t="n">
        <x:v>100</x:v>
      </x:c>
      <x:c r="F118" t="n">
        <x:v>69</x:v>
      </x:c>
      <x:c r="G118" t="n">
        <x:v>15</x:v>
      </x:c>
      <x:c r="H118" s="3" t="n">
        <x:v>9530000</x:v>
      </x:c>
      <x:c r="I118" s="3" t="n">
        <x:v>0</x:v>
      </x:c>
      <x:c r="J118" s="3" t="n">
        <x:v>140000</x:v>
      </x:c>
      <x:c r="K118" t="str"/>
    </x:row>
    <x:row r="119">
      <x:c r="A119" t="str">
        <x:v>2026-05</x:v>
      </x:c>
      <x:c r="B119" t="str">
        <x:v>분당센터</x:v>
      </x:c>
      <x:c r="C119" t="str">
        <x:v>AI 학습관리</x:v>
      </x:c>
      <x:c r="D119" t="str">
        <x:v>네이버광고</x:v>
      </x:c>
      <x:c r="E119" t="n">
        <x:v>46</x:v>
      </x:c>
      <x:c r="F119" t="n">
        <x:v>20</x:v>
      </x:c>
      <x:c r="G119" t="n">
        <x:v>8</x:v>
      </x:c>
      <x:c r="H119" s="3" t="n">
        <x:v>6260000</x:v>
      </x:c>
      <x:c r="I119" s="3" t="n">
        <x:v>0</x:v>
      </x:c>
      <x:c r="J119" s="3" t="n">
        <x:v>910000</x:v>
      </x:c>
      <x:c r="K119" t="str"/>
    </x:row>
    <x:row r="120">
      <x:c r="A120" t="str">
        <x:v>2026-05</x:v>
      </x:c>
      <x:c r="B120" t="str">
        <x:v>분당센터</x:v>
      </x:c>
      <x:c r="C120" t="str">
        <x:v>고등 입시</x:v>
      </x:c>
      <x:c r="D120" t="str">
        <x:v>지인추천</x:v>
      </x:c>
      <x:c r="E120" t="n">
        <x:v>100</x:v>
      </x:c>
      <x:c r="F120" t="n">
        <x:v>41</x:v>
      </x:c>
      <x:c r="G120" t="n">
        <x:v>13</x:v>
      </x:c>
      <x:c r="H120" s="3" t="n">
        <x:v>10680000</x:v>
      </x:c>
      <x:c r="I120" s="3" t="n">
        <x:v>0</x:v>
      </x:c>
      <x:c r="J120" s="3" t="n">
        <x:v>230000</x:v>
      </x:c>
      <x:c r="K120" t="str"/>
    </x:row>
    <x:row r="121">
      <x:c r="A121" t="str">
        <x:v>2026-05</x:v>
      </x:c>
      <x:c r="B121" t="str">
        <x:v>분당센터</x:v>
      </x:c>
      <x:c r="C121" t="str">
        <x:v>초등 자기주도</x:v>
      </x:c>
      <x:c r="D121" t="str">
        <x:v>설명회</x:v>
      </x:c>
      <x:c r="E121" t="n">
        <x:v>39</x:v>
      </x:c>
      <x:c r="F121" t="n">
        <x:v>22</x:v>
      </x:c>
      <x:c r="G121" t="n">
        <x:v>7</x:v>
      </x:c>
      <x:c r="H121" s="3" t="n">
        <x:v>3780000</x:v>
      </x:c>
      <x:c r="I121" s="3" t="n">
        <x:v>0</x:v>
      </x:c>
      <x:c r="J121" s="3" t="n">
        <x:v>150000</x:v>
      </x:c>
      <x:c r="K121" t="str"/>
    </x:row>
    <x:row r="122">
      <x:c r="A122" t="str">
        <x:v>2026-05</x:v>
      </x:c>
      <x:c r="B122" t="str">
        <x:v>송파센터</x:v>
      </x:c>
      <x:c r="C122" t="str">
        <x:v>학부모 코칭</x:v>
      </x:c>
      <x:c r="D122" t="str">
        <x:v>홈페이지</x:v>
      </x:c>
      <x:c r="E122" t="n">
        <x:v>63</x:v>
      </x:c>
      <x:c r="F122" t="n">
        <x:v>36</x:v>
      </x:c>
      <x:c r="G122" t="n">
        <x:v>12</x:v>
      </x:c>
      <x:c r="H122" s="3" t="n">
        <x:v>10830000</x:v>
      </x:c>
      <x:c r="I122" s="3" t="n">
        <x:v>2</x:v>
      </x:c>
      <x:c r="J122" s="3" t="n">
        <x:v>230000</x:v>
      </x:c>
      <x:c r="K122" t="str"/>
    </x:row>
    <x:row r="123">
      <x:c r="A123" t="str">
        <x:v>2026-05</x:v>
      </x:c>
      <x:c r="B123" t="str">
        <x:v>송파센터</x:v>
      </x:c>
      <x:c r="C123" t="str">
        <x:v>고등 입시</x:v>
      </x:c>
      <x:c r="D123" t="str">
        <x:v>블로그</x:v>
      </x:c>
      <x:c r="E123" t="n">
        <x:v>62</x:v>
      </x:c>
      <x:c r="F123" t="n">
        <x:v>25</x:v>
      </x:c>
      <x:c r="G123" t="n">
        <x:v>5</x:v>
      </x:c>
      <x:c r="H123" s="3" t="n">
        <x:v>2830000</x:v>
      </x:c>
      <x:c r="I123" s="3" t="n">
        <x:v>0</x:v>
      </x:c>
      <x:c r="J123" s="3" t="n">
        <x:v>100000</x:v>
      </x:c>
      <x:c r="K123" t="str">
        <x:v>설명회 유입 포함</x:v>
      </x:c>
    </x:row>
    <x:row r="124">
      <x:c r="A124" t="str">
        <x:v>2026-05</x:v>
      </x:c>
      <x:c r="B124" t="str">
        <x:v>송파센터</x:v>
      </x:c>
      <x:c r="C124" t="str">
        <x:v>초등 자기주도</x:v>
      </x:c>
      <x:c r="D124" t="str">
        <x:v>카카오채널</x:v>
      </x:c>
      <x:c r="E124" t="n">
        <x:v>33</x:v>
      </x:c>
      <x:c r="F124" t="n">
        <x:v>15</x:v>
      </x:c>
      <x:c r="G124" t="n">
        <x:v>5</x:v>
      </x:c>
      <x:c r="H124" s="3" t="n">
        <x:v>4010000</x:v>
      </x:c>
      <x:c r="I124" s="3" t="n">
        <x:v>0</x:v>
      </x:c>
      <x:c r="J124" s="3" t="n">
        <x:v>100000</x:v>
      </x:c>
      <x:c r="K124" t="str"/>
    </x:row>
    <x:row r="125">
      <x:c r="A125" t="str">
        <x:v>2026-05</x:v>
      </x:c>
      <x:c r="B125" t="str">
        <x:v>송파센터</x:v>
      </x:c>
      <x:c r="C125" t="str">
        <x:v>학부모 코칭</x:v>
      </x:c>
      <x:c r="D125" t="str">
        <x:v>네이버광고</x:v>
      </x:c>
      <x:c r="E125" t="n">
        <x:v>42</x:v>
      </x:c>
      <x:c r="F125" t="n">
        <x:v>26</x:v>
      </x:c>
      <x:c r="G125" t="n">
        <x:v>11</x:v>
      </x:c>
      <x:c r="H125" s="3" t="n">
        <x:v>6880000</x:v>
      </x:c>
      <x:c r="I125" s="3" t="n">
        <x:v>0</x:v>
      </x:c>
      <x:c r="J125" s="3" t="n">
        <x:v>510000</x:v>
      </x:c>
      <x:c r="K125" t="str"/>
    </x:row>
    <x:row r="126">
      <x:c r="A126" t="str">
        <x:v>2026-05</x:v>
      </x:c>
      <x:c r="B126" t="str">
        <x:v>송파센터</x:v>
      </x:c>
      <x:c r="C126" t="str">
        <x:v>중등 내신</x:v>
      </x:c>
      <x:c r="D126" t="str">
        <x:v>지인추천</x:v>
      </x:c>
      <x:c r="E126" t="n">
        <x:v>26</x:v>
      </x:c>
      <x:c r="F126" t="n">
        <x:v>15</x:v>
      </x:c>
      <x:c r="G126" t="n">
        <x:v>3</x:v>
      </x:c>
      <x:c r="H126" s="3" t="n">
        <x:v>1920000</x:v>
      </x:c>
      <x:c r="I126" s="3" t="n">
        <x:v>0</x:v>
      </x:c>
      <x:c r="J126" s="3" t="n">
        <x:v>40000</x:v>
      </x:c>
      <x:c r="K126" t="str"/>
    </x:row>
    <x:row r="127">
      <x:c r="A127" t="str">
        <x:v>2026-05</x:v>
      </x:c>
      <x:c r="B127" t="str">
        <x:v>송파센터</x:v>
      </x:c>
      <x:c r="C127" t="str">
        <x:v>AI 학습관리</x:v>
      </x:c>
      <x:c r="D127" t="str">
        <x:v>설명회</x:v>
      </x:c>
      <x:c r="E127" t="n">
        <x:v>79</x:v>
      </x:c>
      <x:c r="F127" t="n">
        <x:v>46</x:v>
      </x:c>
      <x:c r="G127" t="n">
        <x:v>20</x:v>
      </x:c>
      <x:c r="H127" s="3" t="n">
        <x:v>12940000</x:v>
      </x:c>
      <x:c r="I127" s="3" t="n">
        <x:v>0</x:v>
      </x:c>
      <x:c r="J127" s="3" t="n">
        <x:v>210000</x:v>
      </x:c>
      <x:c r="K127" t="str"/>
    </x:row>
    <x:row r="128">
      <x:c r="A128" t="str">
        <x:v>2026-05</x:v>
      </x:c>
      <x:c r="B128" t="str">
        <x:v>목동센터</x:v>
      </x:c>
      <x:c r="C128" t="str">
        <x:v>고등 입시</x:v>
      </x:c>
      <x:c r="D128" t="str">
        <x:v>홈페이지</x:v>
      </x:c>
      <x:c r="E128" t="n">
        <x:v>73</x:v>
      </x:c>
      <x:c r="F128" t="n">
        <x:v>42</x:v>
      </x:c>
      <x:c r="G128" t="n">
        <x:v>18</x:v>
      </x:c>
      <x:c r="H128" s="3" t="n">
        <x:v>13480000</x:v>
      </x:c>
      <x:c r="I128" s="3" t="n">
        <x:v>0</x:v>
      </x:c>
      <x:c r="J128" s="3" t="n">
        <x:v>200000</x:v>
      </x:c>
      <x:c r="K128" t="str"/>
    </x:row>
    <x:row r="129">
      <x:c r="A129" t="str">
        <x:v>2026-05</x:v>
      </x:c>
      <x:c r="B129" t="str">
        <x:v>목동센터</x:v>
      </x:c>
      <x:c r="C129" t="str">
        <x:v>초등 자기주도</x:v>
      </x:c>
      <x:c r="D129" t="str">
        <x:v>블로그</x:v>
      </x:c>
      <x:c r="E129" t="n">
        <x:v>103</x:v>
      </x:c>
      <x:c r="F129" t="n">
        <x:v>55</x:v>
      </x:c>
      <x:c r="G129" t="n">
        <x:v>25</x:v>
      </x:c>
      <x:c r="H129" s="3" t="n">
        <x:v>19230000</x:v>
      </x:c>
      <x:c r="I129" s="3" t="n">
        <x:v>0</x:v>
      </x:c>
      <x:c r="J129" s="3" t="n">
        <x:v>160000</x:v>
      </x:c>
      <x:c r="K129" t="str"/>
    </x:row>
    <x:row r="130">
      <x:c r="A130" t="str">
        <x:v>2026-05</x:v>
      </x:c>
      <x:c r="B130" t="str">
        <x:v>목동센터</x:v>
      </x:c>
      <x:c r="C130" t="str">
        <x:v>학부모 코칭</x:v>
      </x:c>
      <x:c r="D130" t="str">
        <x:v>카카오채널</x:v>
      </x:c>
      <x:c r="E130" t="n">
        <x:v>68</x:v>
      </x:c>
      <x:c r="F130" t="n">
        <x:v>31</x:v>
      </x:c>
      <x:c r="G130" t="n">
        <x:v>12</x:v>
      </x:c>
      <x:c r="H130" s="3" t="n">
        <x:v>9930000</x:v>
      </x:c>
      <x:c r="I130" s="3" t="n">
        <x:v>0</x:v>
      </x:c>
      <x:c r="J130" s="3" t="n">
        <x:v>250000</x:v>
      </x:c>
      <x:c r="K130" t="str"/>
    </x:row>
    <x:row r="131">
      <x:c r="A131" t="str">
        <x:v>2026-05</x:v>
      </x:c>
      <x:c r="B131" t="str">
        <x:v>목동센터</x:v>
      </x:c>
      <x:c r="C131" t="str">
        <x:v>중등 내신</x:v>
      </x:c>
      <x:c r="D131" t="str">
        <x:v>네이버광고</x:v>
      </x:c>
      <x:c r="E131" t="n">
        <x:v>45</x:v>
      </x:c>
      <x:c r="F131" t="n">
        <x:v>19</x:v>
      </x:c>
      <x:c r="G131" t="n">
        <x:v>3</x:v>
      </x:c>
      <x:c r="H131" s="3" t="n">
        <x:v>1580000</x:v>
      </x:c>
      <x:c r="I131" s="3" t="n">
        <x:v>0</x:v>
      </x:c>
      <x:c r="J131" s="3" t="n">
        <x:v>840000</x:v>
      </x:c>
      <x:c r="K131" t="str"/>
    </x:row>
    <x:row r="132">
      <x:c r="A132" t="str">
        <x:v>2026-05</x:v>
      </x:c>
      <x:c r="B132" t="str">
        <x:v>목동센터</x:v>
      </x:c>
      <x:c r="C132" t="str">
        <x:v>AI 학습관리</x:v>
      </x:c>
      <x:c r="D132" t="str">
        <x:v>지인추천</x:v>
      </x:c>
      <x:c r="E132" t="n">
        <x:v>85</x:v>
      </x:c>
      <x:c r="F132" t="n">
        <x:v>57</x:v>
      </x:c>
      <x:c r="G132" t="n">
        <x:v>14</x:v>
      </x:c>
      <x:c r="H132" s="3" t="n">
        <x:v>9450000</x:v>
      </x:c>
      <x:c r="I132" s="3" t="n">
        <x:v>0</x:v>
      </x:c>
      <x:c r="J132" s="3" t="n">
        <x:v>170000</x:v>
      </x:c>
      <x:c r="K132" t="str"/>
    </x:row>
    <x:row r="133">
      <x:c r="A133" t="str">
        <x:v>2026-05</x:v>
      </x:c>
      <x:c r="B133" t="str">
        <x:v>목동센터</x:v>
      </x:c>
      <x:c r="C133" t="str">
        <x:v>고등 입시</x:v>
      </x:c>
      <x:c r="D133" t="str">
        <x:v>설명회</x:v>
      </x:c>
      <x:c r="E133" t="n">
        <x:v>63</x:v>
      </x:c>
      <x:c r="F133" t="n">
        <x:v>37</x:v>
      </x:c>
      <x:c r="G133" t="n">
        <x:v>10</x:v>
      </x:c>
      <x:c r="H133" s="3" t="n">
        <x:v>6260000</x:v>
      </x:c>
      <x:c r="I133" s="3" t="n">
        <x:v>0</x:v>
      </x:c>
      <x:c r="J133" s="3" t="n">
        <x:v>230000</x:v>
      </x:c>
      <x:c r="K133" t="str"/>
    </x:row>
    <x:row r="134">
      <x:c r="A134" t="str">
        <x:v>2026-05</x:v>
      </x:c>
      <x:c r="B134" t="str">
        <x:v>대전센터</x:v>
      </x:c>
      <x:c r="C134" t="str">
        <x:v>초등 자기주도</x:v>
      </x:c>
      <x:c r="D134" t="str">
        <x:v>홈페이지</x:v>
      </x:c>
      <x:c r="E134" t="n">
        <x:v>99</x:v>
      </x:c>
      <x:c r="F134" t="n">
        <x:v>64</x:v>
      </x:c>
      <x:c r="G134" t="n">
        <x:v>32</x:v>
      </x:c>
      <x:c r="H134" s="3" t="n">
        <x:v>31240000</x:v>
      </x:c>
      <x:c r="I134" s="3" t="n">
        <x:v>2</x:v>
      </x:c>
      <x:c r="J134" s="3" t="n">
        <x:v>270000</x:v>
      </x:c>
      <x:c r="K134" t="str"/>
    </x:row>
    <x:row r="135">
      <x:c r="A135" t="str">
        <x:v>2026-05</x:v>
      </x:c>
      <x:c r="B135" t="str">
        <x:v>대전센터</x:v>
      </x:c>
      <x:c r="C135" t="str">
        <x:v>AI 학습관리</x:v>
      </x:c>
      <x:c r="D135" t="str">
        <x:v>블로그</x:v>
      </x:c>
      <x:c r="E135" t="n">
        <x:v>60</x:v>
      </x:c>
      <x:c r="F135" t="n">
        <x:v>34</x:v>
      </x:c>
      <x:c r="G135" t="n">
        <x:v>17</x:v>
      </x:c>
      <x:c r="H135" s="3" t="n">
        <x:v>16310000</x:v>
      </x:c>
      <x:c r="I135" s="3" t="n">
        <x:v>1</x:v>
      </x:c>
      <x:c r="J135" s="3" t="n">
        <x:v>220000</x:v>
      </x:c>
      <x:c r="K135" t="str"/>
    </x:row>
    <x:row r="136">
      <x:c r="A136" t="str">
        <x:v>2026-05</x:v>
      </x:c>
      <x:c r="B136" t="str">
        <x:v>대전센터</x:v>
      </x:c>
      <x:c r="C136" t="str">
        <x:v>학부모 코칭</x:v>
      </x:c>
      <x:c r="D136" t="str">
        <x:v>카카오채널</x:v>
      </x:c>
      <x:c r="E136" t="n">
        <x:v>95</x:v>
      </x:c>
      <x:c r="F136" t="n">
        <x:v>64</x:v>
      </x:c>
      <x:c r="G136" t="n">
        <x:v>29</x:v>
      </x:c>
      <x:c r="H136" s="3" t="n">
        <x:v>19530000</x:v>
      </x:c>
      <x:c r="I136" s="3" t="n">
        <x:v>0</x:v>
      </x:c>
      <x:c r="J136" s="3" t="n">
        <x:v>130000</x:v>
      </x:c>
      <x:c r="K136" t="str"/>
    </x:row>
    <x:row r="137">
      <x:c r="A137" t="str">
        <x:v>2026-05</x:v>
      </x:c>
      <x:c r="B137" t="str">
        <x:v>대전센터</x:v>
      </x:c>
      <x:c r="C137" t="str">
        <x:v>중등 내신</x:v>
      </x:c>
      <x:c r="D137" t="str">
        <x:v>네이버광고</x:v>
      </x:c>
      <x:c r="E137" t="n">
        <x:v>85</x:v>
      </x:c>
      <x:c r="F137" t="n">
        <x:v>36</x:v>
      </x:c>
      <x:c r="G137" t="n">
        <x:v>13</x:v>
      </x:c>
      <x:c r="H137" s="3" t="n">
        <x:v>9070000</x:v>
      </x:c>
      <x:c r="I137" s="3" t="n">
        <x:v>0</x:v>
      </x:c>
      <x:c r="J137" s="3" t="n">
        <x:v>1160000</x:v>
      </x:c>
      <x:c r="K137" t="str"/>
    </x:row>
    <x:row r="138">
      <x:c r="A138" t="str">
        <x:v>2026-05</x:v>
      </x:c>
      <x:c r="B138" t="str">
        <x:v>대전센터</x:v>
      </x:c>
      <x:c r="C138" t="str">
        <x:v>AI 학습관리</x:v>
      </x:c>
      <x:c r="D138" t="str">
        <x:v>지인추천</x:v>
      </x:c>
      <x:c r="E138" t="n">
        <x:v>78</x:v>
      </x:c>
      <x:c r="F138" t="n">
        <x:v>44</x:v>
      </x:c>
      <x:c r="G138" t="n">
        <x:v>11</x:v>
      </x:c>
      <x:c r="H138" s="3" t="n">
        <x:v>7170000</x:v>
      </x:c>
      <x:c r="I138" s="3" t="n">
        <x:v>0</x:v>
      </x:c>
      <x:c r="J138" s="3" t="n">
        <x:v>170000</x:v>
      </x:c>
      <x:c r="K138" t="str">
        <x:v>센터명 표기 확인 필요</x:v>
      </x:c>
    </x:row>
    <x:row r="139">
      <x:c r="A139" t="str">
        <x:v>2026-05</x:v>
      </x:c>
      <x:c r="B139" t="str">
        <x:v>대전센터</x:v>
      </x:c>
      <x:c r="C139" t="str">
        <x:v>고등 입시</x:v>
      </x:c>
      <x:c r="D139" t="str">
        <x:v>설명회</x:v>
      </x:c>
      <x:c r="E139" t="n">
        <x:v>32</x:v>
      </x:c>
      <x:c r="F139" t="n">
        <x:v>21</x:v>
      </x:c>
      <x:c r="G139" t="n">
        <x:v>6</x:v>
      </x:c>
      <x:c r="H139" s="3" t="n">
        <x:v>3670000</x:v>
      </x:c>
      <x:c r="I139" s="3" t="n">
        <x:v>0</x:v>
      </x:c>
      <x:c r="J139" s="3" t="n">
        <x:v>60000</x:v>
      </x:c>
      <x:c r="K139" t="str"/>
    </x:row>
    <x:row r="140">
      <x:c r="A140" t="str">
        <x:v>2026-05</x:v>
      </x:c>
      <x:c r="B140" t="str">
        <x:v>부산센터</x:v>
      </x:c>
      <x:c r="C140" t="str">
        <x:v>초등 자기주도</x:v>
      </x:c>
      <x:c r="D140" t="str">
        <x:v>홈페이지</x:v>
      </x:c>
      <x:c r="E140" t="n">
        <x:v>87</x:v>
      </x:c>
      <x:c r="F140" t="n">
        <x:v>58</x:v>
      </x:c>
      <x:c r="G140" t="n">
        <x:v>24</x:v>
      </x:c>
      <x:c r="H140" s="3" t="n">
        <x:v>18810000</x:v>
      </x:c>
      <x:c r="I140" s="3" t="n">
        <x:v>0</x:v>
      </x:c>
      <x:c r="J140" s="3" t="n">
        <x:v>280000</x:v>
      </x:c>
      <x:c r="K140" t="str">
        <x:v>설명회 유입 포함</x:v>
      </x:c>
    </x:row>
    <x:row r="141">
      <x:c r="A141" t="str">
        <x:v>2026-05</x:v>
      </x:c>
      <x:c r="B141" t="str">
        <x:v>부산센터</x:v>
      </x:c>
      <x:c r="C141" t="str">
        <x:v>학부모 코칭</x:v>
      </x:c>
      <x:c r="D141" t="str">
        <x:v>블로그</x:v>
      </x:c>
      <x:c r="E141" t="n">
        <x:v>73</x:v>
      </x:c>
      <x:c r="F141" t="n">
        <x:v>47</x:v>
      </x:c>
      <x:c r="G141" t="n">
        <x:v>20</x:v>
      </x:c>
      <x:c r="H141" s="3" t="n">
        <x:v>14050000</x:v>
      </x:c>
      <x:c r="I141" s="3" t="n">
        <x:v>1</x:v>
      </x:c>
      <x:c r="J141" s="3" t="n">
        <x:v>170000</x:v>
      </x:c>
      <x:c r="K141" t="str"/>
    </x:row>
    <x:row r="142">
      <x:c r="A142" t="str">
        <x:v>2026-05</x:v>
      </x:c>
      <x:c r="B142" t="str">
        <x:v>부산센터</x:v>
      </x:c>
      <x:c r="C142" t="str">
        <x:v>고등 입시</x:v>
      </x:c>
      <x:c r="D142" t="str">
        <x:v>카카오채널</x:v>
      </x:c>
      <x:c r="E142" t="n">
        <x:v>54</x:v>
      </x:c>
      <x:c r="F142" t="n">
        <x:v>24</x:v>
      </x:c>
      <x:c r="G142" t="n">
        <x:v>5</x:v>
      </x:c>
      <x:c r="H142" s="3" t="n">
        <x:v>4030000</x:v>
      </x:c>
      <x:c r="I142" s="3" t="n">
        <x:v>0</x:v>
      </x:c>
      <x:c r="J142" s="3" t="n">
        <x:v>140000</x:v>
      </x:c>
      <x:c r="K142" t="str"/>
    </x:row>
    <x:row r="143">
      <x:c r="A143" t="str">
        <x:v>2026-05</x:v>
      </x:c>
      <x:c r="B143" t="str">
        <x:v>부산센터</x:v>
      </x:c>
      <x:c r="C143" t="str">
        <x:v>초등 자기주도</x:v>
      </x:c>
      <x:c r="D143" t="str">
        <x:v>네이버광고</x:v>
      </x:c>
      <x:c r="E143" t="n">
        <x:v>84</x:v>
      </x:c>
      <x:c r="F143" t="n">
        <x:v>36</x:v>
      </x:c>
      <x:c r="G143" t="n">
        <x:v>15</x:v>
      </x:c>
      <x:c r="H143" s="3" t="n">
        <x:v>12930000</x:v>
      </x:c>
      <x:c r="I143" s="3" t="n">
        <x:v>0</x:v>
      </x:c>
      <x:c r="J143" s="3" t="n">
        <x:v>1520000</x:v>
      </x:c>
      <x:c r="K143" t="str">
        <x:v>센터명 표기 확인 필요</x:v>
      </x:c>
    </x:row>
    <x:row r="144">
      <x:c r="A144" t="str">
        <x:v>2026-05</x:v>
      </x:c>
      <x:c r="B144" t="str">
        <x:v>부산센터</x:v>
      </x:c>
      <x:c r="C144" t="str">
        <x:v>학부모 코칭</x:v>
      </x:c>
      <x:c r="D144" t="str">
        <x:v>지인추천</x:v>
      </x:c>
      <x:c r="E144" t="n">
        <x:v>50</x:v>
      </x:c>
      <x:c r="F144" t="n">
        <x:v>35</x:v>
      </x:c>
      <x:c r="G144" t="n">
        <x:v>14</x:v>
      </x:c>
      <x:c r="H144" s="3" t="n">
        <x:v>7670000</x:v>
      </x:c>
      <x:c r="I144" s="3" t="n">
        <x:v>0</x:v>
      </x:c>
      <x:c r="J144" s="3" t="n">
        <x:v>160000</x:v>
      </x:c>
      <x:c r="K144" t="str"/>
    </x:row>
    <x:row r="145">
      <x:c r="A145" t="str">
        <x:v>2026-05</x:v>
      </x:c>
      <x:c r="B145" t="str">
        <x:v>부산센터</x:v>
      </x:c>
      <x:c r="C145" t="str">
        <x:v>중등 내신</x:v>
      </x:c>
      <x:c r="D145" t="str">
        <x:v>설명회</x:v>
      </x:c>
      <x:c r="E145" t="n">
        <x:v>51</x:v>
      </x:c>
      <x:c r="F145" t="n">
        <x:v>35</x:v>
      </x:c>
      <x:c r="G145" t="n">
        <x:v>7</x:v>
      </x:c>
      <x:c r="H145" s="3" t="n">
        <x:v>7000000</x:v>
      </x:c>
      <x:c r="I145" s="3" t="n">
        <x:v>0</x:v>
      </x:c>
      <x:c r="J145" s="3" t="n">
        <x:v>170000</x:v>
      </x:c>
      <x:c r="K145" t="str"/>
    </x:row>
    <x:row r="146">
      <x:c r="A146" t="str">
        <x:v>2026-06</x:v>
      </x:c>
      <x:c r="B146" t="str">
        <x:v>강남센터</x:v>
      </x:c>
      <x:c r="C146" t="str">
        <x:v>학부모 코칭</x:v>
      </x:c>
      <x:c r="D146" t="str">
        <x:v>홈페이지</x:v>
      </x:c>
      <x:c r="E146" t="n">
        <x:v>55</x:v>
      </x:c>
      <x:c r="F146" t="n">
        <x:v>22</x:v>
      </x:c>
      <x:c r="G146" t="n">
        <x:v>5</x:v>
      </x:c>
      <x:c r="H146" s="3" t="n">
        <x:v>4680000</x:v>
      </x:c>
      <x:c r="I146" s="3" t="n">
        <x:v>0</x:v>
      </x:c>
      <x:c r="J146" s="3" t="n">
        <x:v>110000</x:v>
      </x:c>
      <x:c r="K146" t="str"/>
    </x:row>
    <x:row r="147">
      <x:c r="A147" t="str">
        <x:v>2026-06</x:v>
      </x:c>
      <x:c r="B147" t="str">
        <x:v>강남센터</x:v>
      </x:c>
      <x:c r="C147" t="str">
        <x:v>중등 내신</x:v>
      </x:c>
      <x:c r="D147" t="str">
        <x:v>블로그</x:v>
      </x:c>
      <x:c r="E147" t="n">
        <x:v>69</x:v>
      </x:c>
      <x:c r="F147" t="n">
        <x:v>47</x:v>
      </x:c>
      <x:c r="G147" t="n">
        <x:v>22</x:v>
      </x:c>
      <x:c r="H147" s="3" t="n">
        <x:v>16370000</x:v>
      </x:c>
      <x:c r="I147" s="3" t="n">
        <x:v>0</x:v>
      </x:c>
      <x:c r="J147" s="3" t="n">
        <x:v>180000</x:v>
      </x:c>
      <x:c r="K147" t="str">
        <x:v>설명회 유입 포함</x:v>
      </x:c>
    </x:row>
    <x:row r="148">
      <x:c r="A148" t="str">
        <x:v>2026-06</x:v>
      </x:c>
      <x:c r="B148" t="str">
        <x:v>강남센터</x:v>
      </x:c>
      <x:c r="C148" t="str">
        <x:v>AI 학습관리</x:v>
      </x:c>
      <x:c r="D148" t="str">
        <x:v>카카오채널</x:v>
      </x:c>
      <x:c r="E148" t="n">
        <x:v>81</x:v>
      </x:c>
      <x:c r="F148" t="n">
        <x:v>36</x:v>
      </x:c>
      <x:c r="G148" t="n">
        <x:v>19</x:v>
      </x:c>
      <x:c r="H148" s="3" t="n">
        <x:v>14070000</x:v>
      </x:c>
      <x:c r="I148" s="3" t="n">
        <x:v>0</x:v>
      </x:c>
      <x:c r="J148" s="3" t="n">
        <x:v>120000</x:v>
      </x:c>
      <x:c r="K148" t="str"/>
    </x:row>
    <x:row r="149">
      <x:c r="A149" t="str">
        <x:v>2026-06</x:v>
      </x:c>
      <x:c r="B149" t="str">
        <x:v>강남센터</x:v>
      </x:c>
      <x:c r="C149" t="str">
        <x:v>고등 입시</x:v>
      </x:c>
      <x:c r="D149" t="str">
        <x:v>네이버광고</x:v>
      </x:c>
      <x:c r="E149" t="n">
        <x:v>41</x:v>
      </x:c>
      <x:c r="F149" t="n">
        <x:v>17</x:v>
      </x:c>
      <x:c r="G149" t="n">
        <x:v>8</x:v>
      </x:c>
      <x:c r="H149" s="3" t="n">
        <x:v>5510000</x:v>
      </x:c>
      <x:c r="I149" s="3" t="n">
        <x:v>0</x:v>
      </x:c>
      <x:c r="J149" s="3" t="n">
        <x:v>650000</x:v>
      </x:c>
      <x:c r="K149" t="str">
        <x:v>센터명 표기 확인 필요</x:v>
      </x:c>
    </x:row>
    <x:row r="150">
      <x:c r="A150" t="str">
        <x:v>2026-06</x:v>
      </x:c>
      <x:c r="B150" t="str">
        <x:v>강남센터</x:v>
      </x:c>
      <x:c r="C150" t="str">
        <x:v>초등 자기주도</x:v>
      </x:c>
      <x:c r="D150" t="str">
        <x:v>지인추천</x:v>
      </x:c>
      <x:c r="E150" t="n">
        <x:v>46</x:v>
      </x:c>
      <x:c r="F150" t="n">
        <x:v>24</x:v>
      </x:c>
      <x:c r="G150" t="n">
        <x:v>9</x:v>
      </x:c>
      <x:c r="H150" s="3" t="n">
        <x:v>7310000</x:v>
      </x:c>
      <x:c r="I150" s="3" t="n">
        <x:v>3</x:v>
      </x:c>
      <x:c r="J150" s="3" t="n">
        <x:v>170000</x:v>
      </x:c>
      <x:c r="K150" t="str"/>
    </x:row>
    <x:row r="151">
      <x:c r="A151" t="str">
        <x:v>2026-06</x:v>
      </x:c>
      <x:c r="B151" t="str">
        <x:v>강남센터</x:v>
      </x:c>
      <x:c r="C151" t="str">
        <x:v>AI 학습관리</x:v>
      </x:c>
      <x:c r="D151" t="str">
        <x:v>설명회</x:v>
      </x:c>
      <x:c r="E151" t="n">
        <x:v>88</x:v>
      </x:c>
      <x:c r="F151" t="n">
        <x:v>56</x:v>
      </x:c>
      <x:c r="G151" t="n">
        <x:v>28</x:v>
      </x:c>
      <x:c r="H151" s="3" t="n">
        <x:v>16700000</x:v>
      </x:c>
      <x:c r="I151" s="3" t="n">
        <x:v>0</x:v>
      </x:c>
      <x:c r="J151" s="3" t="n">
        <x:v>180000</x:v>
      </x:c>
      <x:c r="K151" t="str"/>
    </x:row>
    <x:row r="152">
      <x:c r="A152" t="str">
        <x:v>2026-06</x:v>
      </x:c>
      <x:c r="B152" t="str">
        <x:v>분당센터</x:v>
      </x:c>
      <x:c r="C152" t="str">
        <x:v>고등 입시</x:v>
      </x:c>
      <x:c r="D152" t="str">
        <x:v>홈페이지</x:v>
      </x:c>
      <x:c r="E152" t="n">
        <x:v>99</x:v>
      </x:c>
      <x:c r="F152" t="n">
        <x:v>51</x:v>
      </x:c>
      <x:c r="G152" t="n">
        <x:v>21</x:v>
      </x:c>
      <x:c r="H152" s="3" t="n">
        <x:v>14450000</x:v>
      </x:c>
      <x:c r="I152" s="3" t="n">
        <x:v>0</x:v>
      </x:c>
      <x:c r="J152" s="3" t="n">
        <x:v>330000</x:v>
      </x:c>
      <x:c r="K152" t="str"/>
    </x:row>
    <x:row r="153">
      <x:c r="A153" t="str">
        <x:v>2026-06</x:v>
      </x:c>
      <x:c r="B153" t="str">
        <x:v>분당센터</x:v>
      </x:c>
      <x:c r="C153" t="str">
        <x:v>초등 자기주도</x:v>
      </x:c>
      <x:c r="D153" t="str">
        <x:v>블로그</x:v>
      </x:c>
      <x:c r="E153" t="n">
        <x:v>89</x:v>
      </x:c>
      <x:c r="F153" t="n">
        <x:v>34</x:v>
      </x:c>
      <x:c r="G153" t="n">
        <x:v>8</x:v>
      </x:c>
      <x:c r="H153" s="3" t="n">
        <x:v>6120000</x:v>
      </x:c>
      <x:c r="I153" s="3" t="n">
        <x:v>3</x:v>
      </x:c>
      <x:c r="J153" s="3" t="n">
        <x:v>320000</x:v>
      </x:c>
      <x:c r="K153" t="str"/>
    </x:row>
    <x:row r="154">
      <x:c r="A154" t="str">
        <x:v>2026-06</x:v>
      </x:c>
      <x:c r="B154" t="str">
        <x:v>분당센터</x:v>
      </x:c>
      <x:c r="C154" t="str">
        <x:v>AI 학습관리</x:v>
      </x:c>
      <x:c r="D154" t="str">
        <x:v>카카오채널</x:v>
      </x:c>
      <x:c r="E154" t="n">
        <x:v>96</x:v>
      </x:c>
      <x:c r="F154" t="n">
        <x:v>58</x:v>
      </x:c>
      <x:c r="G154" t="n">
        <x:v>20</x:v>
      </x:c>
      <x:c r="H154" s="3" t="n">
        <x:v>17970000</x:v>
      </x:c>
      <x:c r="I154" s="3" t="n">
        <x:v>0</x:v>
      </x:c>
      <x:c r="J154" s="3" t="n">
        <x:v>150000</x:v>
      </x:c>
      <x:c r="K154" t="str"/>
    </x:row>
    <x:row r="155">
      <x:c r="A155" t="str">
        <x:v>2026-06</x:v>
      </x:c>
      <x:c r="B155" t="str">
        <x:v>분당센터</x:v>
      </x:c>
      <x:c r="C155" t="str">
        <x:v>고등 입시</x:v>
      </x:c>
      <x:c r="D155" t="str">
        <x:v>네이버광고</x:v>
      </x:c>
      <x:c r="E155" t="n">
        <x:v>43</x:v>
      </x:c>
      <x:c r="F155" t="n">
        <x:v>17</x:v>
      </x:c>
      <x:c r="G155" t="n">
        <x:v>6</x:v>
      </x:c>
      <x:c r="H155" s="3" t="n">
        <x:v>4460000</x:v>
      </x:c>
      <x:c r="I155" s="3" t="n">
        <x:v>0</x:v>
      </x:c>
      <x:c r="J155" s="3" t="n">
        <x:v>450000</x:v>
      </x:c>
      <x:c r="K155" t="str"/>
    </x:row>
    <x:row r="156">
      <x:c r="A156" t="str">
        <x:v>2026-06</x:v>
      </x:c>
      <x:c r="B156" t="str">
        <x:v>분당센터</x:v>
      </x:c>
      <x:c r="C156" t="str">
        <x:v>초등 자기주도</x:v>
      </x:c>
      <x:c r="D156" t="str">
        <x:v>지인추천</x:v>
      </x:c>
      <x:c r="E156" t="n">
        <x:v>94</x:v>
      </x:c>
      <x:c r="F156" t="n">
        <x:v>37</x:v>
      </x:c>
      <x:c r="G156" t="n">
        <x:v>18</x:v>
      </x:c>
      <x:c r="H156" s="3" t="n">
        <x:v>14060000</x:v>
      </x:c>
      <x:c r="I156" s="3" t="n">
        <x:v>0</x:v>
      </x:c>
      <x:c r="J156" s="3" t="n">
        <x:v>240000</x:v>
      </x:c>
      <x:c r="K156" t="str"/>
    </x:row>
    <x:row r="157">
      <x:c r="A157" t="str">
        <x:v>2026-06</x:v>
      </x:c>
      <x:c r="B157" t="str">
        <x:v>분당센터</x:v>
      </x:c>
      <x:c r="C157" t="str">
        <x:v>학부모 코칭</x:v>
      </x:c>
      <x:c r="D157" t="str">
        <x:v>설명회</x:v>
      </x:c>
      <x:c r="E157" t="n">
        <x:v>67</x:v>
      </x:c>
      <x:c r="F157" t="n">
        <x:v>29</x:v>
      </x:c>
      <x:c r="G157" t="n">
        <x:v>8</x:v>
      </x:c>
      <x:c r="H157" s="3" t="n">
        <x:v>7860000</x:v>
      </x:c>
      <x:c r="I157" s="3" t="n">
        <x:v>0</x:v>
      </x:c>
      <x:c r="J157" s="3" t="n">
        <x:v>110000</x:v>
      </x:c>
      <x:c r="K157" t="str"/>
    </x:row>
    <x:row r="158">
      <x:c r="A158" t="str">
        <x:v>2026-06</x:v>
      </x:c>
      <x:c r="B158" t="str">
        <x:v>송파센터</x:v>
      </x:c>
      <x:c r="C158" t="str">
        <x:v>중등 내신</x:v>
      </x:c>
      <x:c r="D158" t="str">
        <x:v>홈페이지</x:v>
      </x:c>
      <x:c r="E158" t="n">
        <x:v>54</x:v>
      </x:c>
      <x:c r="F158" t="n">
        <x:v>24</x:v>
      </x:c>
      <x:c r="G158" t="n">
        <x:v>8</x:v>
      </x:c>
      <x:c r="H158" s="3" t="n">
        <x:v>6620000</x:v>
      </x:c>
      <x:c r="I158" s="3" t="n">
        <x:v>3</x:v>
      </x:c>
      <x:c r="J158" s="3" t="n">
        <x:v>140000</x:v>
      </x:c>
      <x:c r="K158" t="str"/>
    </x:row>
    <x:row r="159">
      <x:c r="A159" t="str">
        <x:v>2026-06</x:v>
      </x:c>
      <x:c r="B159" t="str">
        <x:v>송파센터</x:v>
      </x:c>
      <x:c r="C159" t="str">
        <x:v>초등 자기주도</x:v>
      </x:c>
      <x:c r="D159" t="str">
        <x:v>블로그</x:v>
      </x:c>
      <x:c r="E159" t="n">
        <x:v>75</x:v>
      </x:c>
      <x:c r="F159" t="n">
        <x:v>38</x:v>
      </x:c>
      <x:c r="G159" t="n">
        <x:v>11</x:v>
      </x:c>
      <x:c r="H159" s="3" t="n">
        <x:v>10900000</x:v>
      </x:c>
      <x:c r="I159" s="3" t="n">
        <x:v>0</x:v>
      </x:c>
      <x:c r="J159" s="3" t="n">
        <x:v>250000</x:v>
      </x:c>
      <x:c r="K159" t="str">
        <x:v>센터명 표기 확인 필요</x:v>
      </x:c>
    </x:row>
    <x:row r="160">
      <x:c r="A160" t="str">
        <x:v>2026-06</x:v>
      </x:c>
      <x:c r="B160" t="str">
        <x:v>송파센터</x:v>
      </x:c>
      <x:c r="C160" t="str">
        <x:v>학부모 코칭</x:v>
      </x:c>
      <x:c r="D160" t="str">
        <x:v>카카오채널</x:v>
      </x:c>
      <x:c r="E160" t="n">
        <x:v>98</x:v>
      </x:c>
      <x:c r="F160" t="n">
        <x:v>68</x:v>
      </x:c>
      <x:c r="G160" t="n">
        <x:v>16</x:v>
      </x:c>
      <x:c r="H160" s="3" t="n">
        <x:v>14780000</x:v>
      </x:c>
      <x:c r="I160" s="3" t="n">
        <x:v>0</x:v>
      </x:c>
      <x:c r="J160" s="3" t="n">
        <x:v>300000</x:v>
      </x:c>
      <x:c r="K160" t="str"/>
    </x:row>
    <x:row r="161">
      <x:c r="A161" t="str">
        <x:v>2026-06</x:v>
      </x:c>
      <x:c r="B161" t="str">
        <x:v>송파센터</x:v>
      </x:c>
      <x:c r="C161" t="str">
        <x:v>중등 내신</x:v>
      </x:c>
      <x:c r="D161" t="str">
        <x:v>네이버광고</x:v>
      </x:c>
      <x:c r="E161" t="n">
        <x:v>98</x:v>
      </x:c>
      <x:c r="F161" t="n">
        <x:v>58</x:v>
      </x:c>
      <x:c r="G161" t="n">
        <x:v>13</x:v>
      </x:c>
      <x:c r="H161" s="3" t="n">
        <x:v>11950000</x:v>
      </x:c>
      <x:c r="I161" s="3" t="n">
        <x:v>0</x:v>
      </x:c>
      <x:c r="J161" s="3" t="n">
        <x:v>910000</x:v>
      </x:c>
      <x:c r="K161" t="str"/>
    </x:row>
    <x:row r="162">
      <x:c r="A162" t="str">
        <x:v>2026-06</x:v>
      </x:c>
      <x:c r="B162" t="str">
        <x:v>송파센터</x:v>
      </x:c>
      <x:c r="C162" t="str">
        <x:v>AI 학습관리</x:v>
      </x:c>
      <x:c r="D162" t="str">
        <x:v>지인추천</x:v>
      </x:c>
      <x:c r="E162" t="n">
        <x:v>66</x:v>
      </x:c>
      <x:c r="F162" t="n">
        <x:v>39</x:v>
      </x:c>
      <x:c r="G162" t="n">
        <x:v>17</x:v>
      </x:c>
      <x:c r="H162" s="3" t="n">
        <x:v>10690000</x:v>
      </x:c>
      <x:c r="I162" s="3" t="n">
        <x:v>0</x:v>
      </x:c>
      <x:c r="J162" s="3" t="n">
        <x:v>180000</x:v>
      </x:c>
      <x:c r="K162" t="str">
        <x:v>설명회 유입 포함</x:v>
      </x:c>
    </x:row>
    <x:row r="163">
      <x:c r="A163" t="str">
        <x:v>2026-06</x:v>
      </x:c>
      <x:c r="B163" t="str">
        <x:v>송파센터</x:v>
      </x:c>
      <x:c r="C163" t="str">
        <x:v>고등 입시</x:v>
      </x:c>
      <x:c r="D163" t="str">
        <x:v>설명회</x:v>
      </x:c>
      <x:c r="E163" t="n">
        <x:v>94</x:v>
      </x:c>
      <x:c r="F163" t="n">
        <x:v>64</x:v>
      </x:c>
      <x:c r="G163" t="n">
        <x:v>26</x:v>
      </x:c>
      <x:c r="H163" s="3" t="n">
        <x:v>23580000</x:v>
      </x:c>
      <x:c r="I163" s="3" t="n">
        <x:v>0</x:v>
      </x:c>
      <x:c r="J163" s="3" t="n">
        <x:v>250000</x:v>
      </x:c>
      <x:c r="K163" t="str"/>
    </x:row>
    <x:row r="164">
      <x:c r="A164" t="str">
        <x:v>2026-06</x:v>
      </x:c>
      <x:c r="B164" t="str">
        <x:v>목동센터</x:v>
      </x:c>
      <x:c r="C164" t="str">
        <x:v>초등 자기주도</x:v>
      </x:c>
      <x:c r="D164" t="str">
        <x:v>홈페이지</x:v>
      </x:c>
      <x:c r="E164" t="n">
        <x:v>47</x:v>
      </x:c>
      <x:c r="F164" t="n">
        <x:v>25</x:v>
      </x:c>
      <x:c r="G164" t="n">
        <x:v>5</x:v>
      </x:c>
      <x:c r="H164" s="3" t="n">
        <x:v>3260000</x:v>
      </x:c>
      <x:c r="I164" s="3" t="n">
        <x:v>2</x:v>
      </x:c>
      <x:c r="J164" s="3" t="n">
        <x:v>170000</x:v>
      </x:c>
      <x:c r="K164" t="str"/>
    </x:row>
    <x:row r="165">
      <x:c r="A165" t="str">
        <x:v>2026-06</x:v>
      </x:c>
      <x:c r="B165" t="str">
        <x:v>목동센터</x:v>
      </x:c>
      <x:c r="C165" t="str">
        <x:v>AI 학습관리</x:v>
      </x:c>
      <x:c r="D165" t="str">
        <x:v>블로그</x:v>
      </x:c>
      <x:c r="E165" t="n">
        <x:v>99</x:v>
      </x:c>
      <x:c r="F165" t="n">
        <x:v>46</x:v>
      </x:c>
      <x:c r="G165" t="n">
        <x:v>18</x:v>
      </x:c>
      <x:c r="H165" s="3" t="n">
        <x:v>11920000</x:v>
      </x:c>
      <x:c r="I165" s="3" t="n">
        <x:v>0</x:v>
      </x:c>
      <x:c r="J165" s="3" t="n">
        <x:v>160000</x:v>
      </x:c>
      <x:c r="K165" t="str"/>
    </x:row>
    <x:row r="166">
      <x:c r="A166" t="str">
        <x:v>2026-06</x:v>
      </x:c>
      <x:c r="B166" t="str">
        <x:v>목동센터</x:v>
      </x:c>
      <x:c r="C166" t="str">
        <x:v>고등 입시</x:v>
      </x:c>
      <x:c r="D166" t="str">
        <x:v>카카오채널</x:v>
      </x:c>
      <x:c r="E166" t="n">
        <x:v>76</x:v>
      </x:c>
      <x:c r="F166" t="n">
        <x:v>49</x:v>
      </x:c>
      <x:c r="G166" t="n">
        <x:v>25</x:v>
      </x:c>
      <x:c r="H166" s="3" t="n">
        <x:v>21000000</x:v>
      </x:c>
      <x:c r="I166" s="3" t="n">
        <x:v>0</x:v>
      </x:c>
      <x:c r="J166" s="3" t="n">
        <x:v>190000</x:v>
      </x:c>
      <x:c r="K166" t="str"/>
    </x:row>
    <x:row r="167">
      <x:c r="A167" t="str">
        <x:v>2026-06</x:v>
      </x:c>
      <x:c r="B167" t="str">
        <x:v>목동센터</x:v>
      </x:c>
      <x:c r="C167" t="str">
        <x:v>초등 자기주도</x:v>
      </x:c>
      <x:c r="D167" t="str">
        <x:v>네이버광고</x:v>
      </x:c>
      <x:c r="E167" t="n">
        <x:v>73</x:v>
      </x:c>
      <x:c r="F167" t="n">
        <x:v>37</x:v>
      </x:c>
      <x:c r="G167" t="n">
        <x:v>13</x:v>
      </x:c>
      <x:c r="H167" s="3" t="n">
        <x:v>8000000</x:v>
      </x:c>
      <x:c r="I167" s="3" t="n">
        <x:v>1</x:v>
      </x:c>
      <x:c r="J167" s="3" t="n">
        <x:v>830000</x:v>
      </x:c>
      <x:c r="K167" t="str"/>
    </x:row>
    <x:row r="168">
      <x:c r="A168" t="str">
        <x:v>2026-06</x:v>
      </x:c>
      <x:c r="B168" t="str">
        <x:v>목동센터</x:v>
      </x:c>
      <x:c r="C168" t="str">
        <x:v>AI 학습관리</x:v>
      </x:c>
      <x:c r="D168" t="str">
        <x:v>지인추천</x:v>
      </x:c>
      <x:c r="E168" t="n">
        <x:v>91</x:v>
      </x:c>
      <x:c r="F168" t="n">
        <x:v>53</x:v>
      </x:c>
      <x:c r="G168" t="n">
        <x:v>20</x:v>
      </x:c>
      <x:c r="H168" s="3" t="n">
        <x:v>17740000</x:v>
      </x:c>
      <x:c r="I168" s="3" t="n">
        <x:v>0</x:v>
      </x:c>
      <x:c r="J168" s="3" t="n">
        <x:v>270000</x:v>
      </x:c>
      <x:c r="K168" t="str"/>
    </x:row>
    <x:row r="169">
      <x:c r="A169" t="str">
        <x:v>2026-06</x:v>
      </x:c>
      <x:c r="B169" t="str">
        <x:v>목동센터</x:v>
      </x:c>
      <x:c r="C169" t="str">
        <x:v>고등 입시</x:v>
      </x:c>
      <x:c r="D169" t="str">
        <x:v>설명회</x:v>
      </x:c>
      <x:c r="E169" t="n">
        <x:v>58</x:v>
      </x:c>
      <x:c r="F169" t="n">
        <x:v>36</x:v>
      </x:c>
      <x:c r="G169" t="n">
        <x:v>9</x:v>
      </x:c>
      <x:c r="H169" s="3" t="n">
        <x:v>5620000</x:v>
      </x:c>
      <x:c r="I169" s="3" t="n">
        <x:v>0</x:v>
      </x:c>
      <x:c r="J169" s="3" t="n">
        <x:v>170000</x:v>
      </x:c>
      <x:c r="K169" t="str"/>
    </x:row>
    <x:row r="170">
      <x:c r="A170" t="str">
        <x:v>2026-06</x:v>
      </x:c>
      <x:c r="B170" t="str">
        <x:v>대전센터</x:v>
      </x:c>
      <x:c r="C170" t="str">
        <x:v>초등 자기주도</x:v>
      </x:c>
      <x:c r="D170" t="str">
        <x:v>홈페이지</x:v>
      </x:c>
      <x:c r="E170" t="n">
        <x:v>73</x:v>
      </x:c>
      <x:c r="F170" t="n">
        <x:v>39</x:v>
      </x:c>
      <x:c r="G170" t="n">
        <x:v>14</x:v>
      </x:c>
      <x:c r="H170" s="3" t="n">
        <x:v>7490000</x:v>
      </x:c>
      <x:c r="I170" s="3" t="n">
        <x:v>0</x:v>
      </x:c>
      <x:c r="J170" s="3" t="n">
        <x:v>170000</x:v>
      </x:c>
      <x:c r="K170" t="str"/>
    </x:row>
    <x:row r="171">
      <x:c r="A171" t="str">
        <x:v>2026-06</x:v>
      </x:c>
      <x:c r="B171" t="str">
        <x:v>대전센터</x:v>
      </x:c>
      <x:c r="C171" t="str">
        <x:v>학부모 코칭</x:v>
      </x:c>
      <x:c r="D171" t="str">
        <x:v>블로그</x:v>
      </x:c>
      <x:c r="E171" t="n">
        <x:v>40</x:v>
      </x:c>
      <x:c r="F171" t="n">
        <x:v>17</x:v>
      </x:c>
      <x:c r="G171" t="n">
        <x:v>7</x:v>
      </x:c>
      <x:c r="H171" s="3" t="n">
        <x:v>5990000</x:v>
      </x:c>
      <x:c r="I171" s="3" t="n">
        <x:v>0</x:v>
      </x:c>
      <x:c r="J171" s="3" t="n">
        <x:v>70000</x:v>
      </x:c>
      <x:c r="K171" t="str">
        <x:v>센터명 표기 확인 필요</x:v>
      </x:c>
    </x:row>
    <x:row r="172">
      <x:c r="A172" t="str">
        <x:v>2026-06</x:v>
      </x:c>
      <x:c r="B172" t="str">
        <x:v>대전센터</x:v>
      </x:c>
      <x:c r="C172" t="str">
        <x:v>중등 내신</x:v>
      </x:c>
      <x:c r="D172" t="str">
        <x:v>카카오채널</x:v>
      </x:c>
      <x:c r="E172" t="n">
        <x:v>30</x:v>
      </x:c>
      <x:c r="F172" t="n">
        <x:v>20</x:v>
      </x:c>
      <x:c r="G172" t="n">
        <x:v>6</x:v>
      </x:c>
      <x:c r="H172" s="3" t="n">
        <x:v>5380000</x:v>
      </x:c>
      <x:c r="I172" s="3" t="n">
        <x:v>0</x:v>
      </x:c>
      <x:c r="J172" s="3" t="n">
        <x:v>90000</x:v>
      </x:c>
      <x:c r="K172" t="str"/>
    </x:row>
    <x:row r="173">
      <x:c r="A173" t="str">
        <x:v>2026-06</x:v>
      </x:c>
      <x:c r="B173" t="str">
        <x:v>대전센터</x:v>
      </x:c>
      <x:c r="C173" t="str">
        <x:v>AI 학습관리</x:v>
      </x:c>
      <x:c r="D173" t="str">
        <x:v>네이버광고</x:v>
      </x:c>
      <x:c r="E173" t="n">
        <x:v>27</x:v>
      </x:c>
      <x:c r="F173" t="n">
        <x:v>19</x:v>
      </x:c>
      <x:c r="G173" t="n">
        <x:v>10</x:v>
      </x:c>
      <x:c r="H173" s="3" t="n">
        <x:v>8980000</x:v>
      </x:c>
      <x:c r="I173" s="3" t="n">
        <x:v>0</x:v>
      </x:c>
      <x:c r="J173" s="3" t="n">
        <x:v>440000</x:v>
      </x:c>
      <x:c r="K173" t="str"/>
    </x:row>
    <x:row r="174">
      <x:c r="A174" t="str">
        <x:v>2026-06</x:v>
      </x:c>
      <x:c r="B174" t="str">
        <x:v>대전센터</x:v>
      </x:c>
      <x:c r="C174" t="str">
        <x:v>고등 입시</x:v>
      </x:c>
      <x:c r="D174" t="str">
        <x:v>지인추천</x:v>
      </x:c>
      <x:c r="E174" t="n">
        <x:v>78</x:v>
      </x:c>
      <x:c r="F174" t="n">
        <x:v>31</x:v>
      </x:c>
      <x:c r="G174" t="n">
        <x:v>8</x:v>
      </x:c>
      <x:c r="H174" s="3" t="n">
        <x:v>7690000</x:v>
      </x:c>
      <x:c r="I174" s="3" t="n">
        <x:v>0</x:v>
      </x:c>
      <x:c r="J174" s="3" t="n">
        <x:v>160000</x:v>
      </x:c>
      <x:c r="K174" t="str"/>
    </x:row>
    <x:row r="175">
      <x:c r="A175" t="str">
        <x:v>2026-06</x:v>
      </x:c>
      <x:c r="B175" t="str">
        <x:v>대전센터</x:v>
      </x:c>
      <x:c r="C175" t="str">
        <x:v>초등 자기주도</x:v>
      </x:c>
      <x:c r="D175" t="str">
        <x:v>설명회</x:v>
      </x:c>
      <x:c r="E175" t="n">
        <x:v>100</x:v>
      </x:c>
      <x:c r="F175" t="n">
        <x:v>59</x:v>
      </x:c>
      <x:c r="G175" t="n">
        <x:v>20</x:v>
      </x:c>
      <x:c r="H175" s="3" t="n">
        <x:v>9900000</x:v>
      </x:c>
      <x:c r="I175" s="3" t="n">
        <x:v>2</x:v>
      </x:c>
      <x:c r="J175" s="3" t="n">
        <x:v>180000</x:v>
      </x:c>
      <x:c r="K175" t="str"/>
    </x:row>
    <x:row r="176">
      <x:c r="A176" t="str">
        <x:v>2026-06</x:v>
      </x:c>
      <x:c r="B176" t="str">
        <x:v>부산센터</x:v>
      </x:c>
      <x:c r="C176" t="str">
        <x:v>AI 학습관리</x:v>
      </x:c>
      <x:c r="D176" t="str">
        <x:v>홈페이지</x:v>
      </x:c>
      <x:c r="E176" t="n">
        <x:v>41</x:v>
      </x:c>
      <x:c r="F176" t="n">
        <x:v>23</x:v>
      </x:c>
      <x:c r="G176" t="n">
        <x:v>7</x:v>
      </x:c>
      <x:c r="H176" s="3" t="n">
        <x:v>5140000</x:v>
      </x:c>
      <x:c r="I176" s="3" t="n">
        <x:v>0</x:v>
      </x:c>
      <x:c r="J176" s="3" t="n">
        <x:v>90000</x:v>
      </x:c>
      <x:c r="K176" t="str"/>
    </x:row>
    <x:row r="177">
      <x:c r="A177" t="str">
        <x:v>2026-06</x:v>
      </x:c>
      <x:c r="B177" t="str">
        <x:v>부산센터</x:v>
      </x:c>
      <x:c r="C177" t="str">
        <x:v>고등 입시</x:v>
      </x:c>
      <x:c r="D177" t="str">
        <x:v>블로그</x:v>
      </x:c>
      <x:c r="E177" t="n">
        <x:v>103</x:v>
      </x:c>
      <x:c r="F177" t="n">
        <x:v>48</x:v>
      </x:c>
      <x:c r="G177" t="n">
        <x:v>12</x:v>
      </x:c>
      <x:c r="H177" s="3" t="n">
        <x:v>10020000</x:v>
      </x:c>
      <x:c r="I177" s="3" t="n">
        <x:v>0</x:v>
      </x:c>
      <x:c r="J177" s="3" t="n">
        <x:v>180000</x:v>
      </x:c>
      <x:c r="K177" t="str"/>
    </x:row>
    <x:row r="178">
      <x:c r="A178" t="str">
        <x:v>2026-06</x:v>
      </x:c>
      <x:c r="B178" t="str">
        <x:v>부산센터</x:v>
      </x:c>
      <x:c r="C178" t="str">
        <x:v>초등 자기주도</x:v>
      </x:c>
      <x:c r="D178" t="str">
        <x:v>카카오채널</x:v>
      </x:c>
      <x:c r="E178" t="n">
        <x:v>72</x:v>
      </x:c>
      <x:c r="F178" t="n">
        <x:v>37</x:v>
      </x:c>
      <x:c r="G178" t="n">
        <x:v>15</x:v>
      </x:c>
      <x:c r="H178" s="3" t="n">
        <x:v>9280000</x:v>
      </x:c>
      <x:c r="I178" s="3" t="n">
        <x:v>0</x:v>
      </x:c>
      <x:c r="J178" s="3" t="n">
        <x:v>270000</x:v>
      </x:c>
      <x:c r="K178" t="str"/>
    </x:row>
    <x:row r="179">
      <x:c r="A179" t="str">
        <x:v>2026-06</x:v>
      </x:c>
      <x:c r="B179" t="str">
        <x:v>부산센터</x:v>
      </x:c>
      <x:c r="C179" t="str">
        <x:v>학부모 코칭</x:v>
      </x:c>
      <x:c r="D179" t="str">
        <x:v>네이버광고</x:v>
      </x:c>
      <x:c r="E179" t="n">
        <x:v>53</x:v>
      </x:c>
      <x:c r="F179" t="n">
        <x:v>21</x:v>
      </x:c>
      <x:c r="G179" t="n">
        <x:v>9</x:v>
      </x:c>
      <x:c r="H179" s="3" t="n">
        <x:v>6880000</x:v>
      </x:c>
      <x:c r="I179" s="3" t="n">
        <x:v>0</x:v>
      </x:c>
      <x:c r="J179" s="3" t="n">
        <x:v>540000</x:v>
      </x:c>
      <x:c r="K179" t="str"/>
    </x:row>
    <x:row r="180">
      <x:c r="A180" t="str">
        <x:v>2026-06</x:v>
      </x:c>
      <x:c r="B180" t="str">
        <x:v>부산센터</x:v>
      </x:c>
      <x:c r="C180" t="str">
        <x:v>중등 내신</x:v>
      </x:c>
      <x:c r="D180" t="str">
        <x:v>지인추천</x:v>
      </x:c>
      <x:c r="E180" t="n">
        <x:v>99</x:v>
      </x:c>
      <x:c r="F180" t="n">
        <x:v>49</x:v>
      </x:c>
      <x:c r="G180" t="n">
        <x:v>21</x:v>
      </x:c>
      <x:c r="H180" s="3" t="n">
        <x:v>16810000</x:v>
      </x:c>
      <x:c r="I180" s="3" t="n">
        <x:v>0</x:v>
      </x:c>
      <x:c r="J180" s="3" t="n">
        <x:v>320000</x:v>
      </x:c>
      <x:c r="K180" t="str">
        <x:v>센터명 표기 확인 필요</x:v>
      </x:c>
    </x:row>
    <x:row r="181">
      <x:c r="A181" t="str">
        <x:v>2026-06</x:v>
      </x:c>
      <x:c r="B181" t="str">
        <x:v>부산센터</x:v>
      </x:c>
      <x:c r="C181" t="str">
        <x:v>AI 학습관리</x:v>
      </x:c>
      <x:c r="D181" t="str">
        <x:v>설명회</x:v>
      </x:c>
      <x:c r="E181" t="n">
        <x:v>42</x:v>
      </x:c>
      <x:c r="F181" t="n">
        <x:v>21</x:v>
      </x:c>
      <x:c r="G181" t="n">
        <x:v>9</x:v>
      </x:c>
      <x:c r="H181" s="3" t="n">
        <x:v>8830000</x:v>
      </x:c>
      <x:c r="I181" s="3" t="n">
        <x:v>0</x:v>
      </x:c>
      <x:c r="J181" s="3" t="n">
        <x:v>140000</x:v>
      </x:c>
      <x:c r="K181" t="str"/>
    </x:row>
    <x:row r="182">
      <x:c r="A182" t="str">
        <x:v>2026-07</x:v>
      </x:c>
      <x:c r="B182" t="str">
        <x:v>강남센터</x:v>
      </x:c>
      <x:c r="C182" t="str">
        <x:v>중등 내신</x:v>
      </x:c>
      <x:c r="D182" t="str">
        <x:v>홈페이지</x:v>
      </x:c>
      <x:c r="E182" t="n">
        <x:v>36</x:v>
      </x:c>
      <x:c r="F182" t="n">
        <x:v>22</x:v>
      </x:c>
      <x:c r="G182" t="n">
        <x:v>5</x:v>
      </x:c>
      <x:c r="H182" s="3" t="n">
        <x:v>2960000</x:v>
      </x:c>
      <x:c r="I182" s="3" t="n">
        <x:v>0</x:v>
      </x:c>
      <x:c r="J182" s="3" t="n">
        <x:v>130000</x:v>
      </x:c>
      <x:c r="K182" t="str">
        <x:v>설명회 유입 포함</x:v>
      </x:c>
    </x:row>
    <x:row r="183">
      <x:c r="A183" t="str">
        <x:v>2026-07</x:v>
      </x:c>
      <x:c r="B183" t="str">
        <x:v>강남센터</x:v>
      </x:c>
      <x:c r="C183" t="str">
        <x:v>AI 학습관리</x:v>
      </x:c>
      <x:c r="D183" t="str">
        <x:v>블로그</x:v>
      </x:c>
      <x:c r="E183" t="n">
        <x:v>64</x:v>
      </x:c>
      <x:c r="F183" t="n">
        <x:v>43</x:v>
      </x:c>
      <x:c r="G183" t="n">
        <x:v>11</x:v>
      </x:c>
      <x:c r="H183" s="3" t="n">
        <x:v>10300000</x:v>
      </x:c>
      <x:c r="I183" s="3" t="n">
        <x:v>0</x:v>
      </x:c>
      <x:c r="J183" s="3" t="n">
        <x:v>140000</x:v>
      </x:c>
      <x:c r="K183" t="str"/>
    </x:row>
    <x:row r="184">
      <x:c r="A184" t="str">
        <x:v>2026-07</x:v>
      </x:c>
      <x:c r="B184" t="str">
        <x:v>강남센터</x:v>
      </x:c>
      <x:c r="C184" t="str">
        <x:v>고등 입시</x:v>
      </x:c>
      <x:c r="D184" t="str">
        <x:v>카카오채널</x:v>
      </x:c>
      <x:c r="E184" t="n">
        <x:v>28</x:v>
      </x:c>
      <x:c r="F184" t="n">
        <x:v>11</x:v>
      </x:c>
      <x:c r="G184" t="n">
        <x:v>3</x:v>
      </x:c>
      <x:c r="H184" s="3" t="n">
        <x:v>2770000</x:v>
      </x:c>
      <x:c r="I184" s="3" t="n">
        <x:v>0</x:v>
      </x:c>
      <x:c r="J184" s="3" t="n">
        <x:v>80000</x:v>
      </x:c>
      <x:c r="K184" t="str"/>
    </x:row>
    <x:row r="185">
      <x:c r="A185" t="str">
        <x:v>2026-07</x:v>
      </x:c>
      <x:c r="B185" t="str">
        <x:v>강남센터</x:v>
      </x:c>
      <x:c r="C185" t="str">
        <x:v>초등 자기주도</x:v>
      </x:c>
      <x:c r="D185" t="str">
        <x:v>네이버광고</x:v>
      </x:c>
      <x:c r="E185" t="n">
        <x:v>90</x:v>
      </x:c>
      <x:c r="F185" t="n">
        <x:v>57</x:v>
      </x:c>
      <x:c r="G185" t="n">
        <x:v>28</x:v>
      </x:c>
      <x:c r="H185" s="3" t="n">
        <x:v>17270000</x:v>
      </x:c>
      <x:c r="I185" s="3" t="n">
        <x:v>0</x:v>
      </x:c>
      <x:c r="J185" s="3" t="n">
        <x:v>1010000</x:v>
      </x:c>
      <x:c r="K185" t="str"/>
    </x:row>
    <x:row r="186">
      <x:c r="A186" t="str">
        <x:v>2026-07</x:v>
      </x:c>
      <x:c r="B186" t="str">
        <x:v>강남센터</x:v>
      </x:c>
      <x:c r="C186" t="str">
        <x:v>학부모 코칭</x:v>
      </x:c>
      <x:c r="D186" t="str">
        <x:v>지인추천</x:v>
      </x:c>
      <x:c r="E186" t="n">
        <x:v>98</x:v>
      </x:c>
      <x:c r="F186" t="n">
        <x:v>53</x:v>
      </x:c>
      <x:c r="G186" t="n">
        <x:v>27</x:v>
      </x:c>
      <x:c r="H186" s="3" t="n">
        <x:v>16080000</x:v>
      </x:c>
      <x:c r="I186" s="3" t="n">
        <x:v>1</x:v>
      </x:c>
      <x:c r="J186" s="3" t="n">
        <x:v>260000</x:v>
      </x:c>
      <x:c r="K186" t="str"/>
    </x:row>
    <x:row r="187">
      <x:c r="A187" t="str">
        <x:v>2026-07</x:v>
      </x:c>
      <x:c r="B187" t="str">
        <x:v>강남센터</x:v>
      </x:c>
      <x:c r="C187" t="str">
        <x:v>고등 입시</x:v>
      </x:c>
      <x:c r="D187" t="str">
        <x:v>설명회</x:v>
      </x:c>
      <x:c r="E187" t="n">
        <x:v>76</x:v>
      </x:c>
      <x:c r="F187" t="n">
        <x:v>50</x:v>
      </x:c>
      <x:c r="G187" t="n">
        <x:v>23</x:v>
      </x:c>
      <x:c r="H187" s="3" t="n">
        <x:v>20050000</x:v>
      </x:c>
      <x:c r="I187" s="3" t="n">
        <x:v>0</x:v>
      </x:c>
      <x:c r="J187" s="3" t="n">
        <x:v>130000</x:v>
      </x:c>
      <x:c r="K187" t="str"/>
    </x:row>
    <x:row r="188">
      <x:c r="A188" t="str">
        <x:v>2026-07</x:v>
      </x:c>
      <x:c r="B188" t="str">
        <x:v>분당센터</x:v>
      </x:c>
      <x:c r="C188" t="str">
        <x:v>초등 자기주도</x:v>
      </x:c>
      <x:c r="D188" t="str">
        <x:v>홈페이지</x:v>
      </x:c>
      <x:c r="E188" t="n">
        <x:v>97</x:v>
      </x:c>
      <x:c r="F188" t="n">
        <x:v>66</x:v>
      </x:c>
      <x:c r="G188" t="n">
        <x:v>27</x:v>
      </x:c>
      <x:c r="H188" s="3" t="n">
        <x:v>24640000</x:v>
      </x:c>
      <x:c r="I188" s="3" t="n">
        <x:v>0</x:v>
      </x:c>
      <x:c r="J188" s="3" t="n">
        <x:v>140000</x:v>
      </x:c>
      <x:c r="K188" t="str"/>
    </x:row>
    <x:row r="189">
      <x:c r="A189" t="str">
        <x:v>2026-07</x:v>
      </x:c>
      <x:c r="B189" t="str">
        <x:v>분당센터</x:v>
      </x:c>
      <x:c r="C189" t="str">
        <x:v>학부모 코칭</x:v>
      </x:c>
      <x:c r="D189" t="str">
        <x:v>블로그</x:v>
      </x:c>
      <x:c r="E189" t="n">
        <x:v>27</x:v>
      </x:c>
      <x:c r="F189" t="n">
        <x:v>17</x:v>
      </x:c>
      <x:c r="G189" t="n">
        <x:v>6</x:v>
      </x:c>
      <x:c r="H189" s="3" t="n">
        <x:v>3840000</x:v>
      </x:c>
      <x:c r="I189" s="3" t="n">
        <x:v>0</x:v>
      </x:c>
      <x:c r="J189" s="3" t="n">
        <x:v>50000</x:v>
      </x:c>
      <x:c r="K189" t="str"/>
    </x:row>
    <x:row r="190">
      <x:c r="A190" t="str">
        <x:v>2026-07</x:v>
      </x:c>
      <x:c r="B190" t="str">
        <x:v>분당센터</x:v>
      </x:c>
      <x:c r="C190" t="str">
        <x:v>중등 내신</x:v>
      </x:c>
      <x:c r="D190" t="str">
        <x:v>카카오채널</x:v>
      </x:c>
      <x:c r="E190" t="n">
        <x:v>73</x:v>
      </x:c>
      <x:c r="F190" t="n">
        <x:v>48</x:v>
      </x:c>
      <x:c r="G190" t="n">
        <x:v>25</x:v>
      </x:c>
      <x:c r="H190" s="3" t="n">
        <x:v>20970000</x:v>
      </x:c>
      <x:c r="I190" s="3" t="n">
        <x:v>0</x:v>
      </x:c>
      <x:c r="J190" s="3" t="n">
        <x:v>170000</x:v>
      </x:c>
      <x:c r="K190" t="str"/>
    </x:row>
    <x:row r="191">
      <x:c r="A191" t="str">
        <x:v>2026-07</x:v>
      </x:c>
      <x:c r="B191" t="str">
        <x:v>분당센터</x:v>
      </x:c>
      <x:c r="C191" t="str">
        <x:v>AI 학습관리</x:v>
      </x:c>
      <x:c r="D191" t="str">
        <x:v>네이버광고</x:v>
      </x:c>
      <x:c r="E191" t="n">
        <x:v>70</x:v>
      </x:c>
      <x:c r="F191" t="n">
        <x:v>47</x:v>
      </x:c>
      <x:c r="G191" t="n">
        <x:v>19</x:v>
      </x:c>
      <x:c r="H191" s="3" t="n">
        <x:v>14330000</x:v>
      </x:c>
      <x:c r="I191" s="3" t="n">
        <x:v>0</x:v>
      </x:c>
      <x:c r="J191" s="3" t="n">
        <x:v>1330000</x:v>
      </x:c>
      <x:c r="K191" t="str"/>
    </x:row>
    <x:row r="192">
      <x:c r="A192" t="str">
        <x:v>2026-07</x:v>
      </x:c>
      <x:c r="B192" t="str">
        <x:v>분당센터</x:v>
      </x:c>
      <x:c r="C192" t="str">
        <x:v>고등 입시</x:v>
      </x:c>
      <x:c r="D192" t="str">
        <x:v>지인추천</x:v>
      </x:c>
      <x:c r="E192" t="n">
        <x:v>85</x:v>
      </x:c>
      <x:c r="F192" t="n">
        <x:v>34</x:v>
      </x:c>
      <x:c r="G192" t="n">
        <x:v>13</x:v>
      </x:c>
      <x:c r="H192" s="3" t="n">
        <x:v>10280000</x:v>
      </x:c>
      <x:c r="I192" s="3" t="n">
        <x:v>0</x:v>
      </x:c>
      <x:c r="J192" s="3" t="n">
        <x:v>190000</x:v>
      </x:c>
      <x:c r="K192" t="str"/>
    </x:row>
    <x:row r="193">
      <x:c r="A193" t="str">
        <x:v>2026-07</x:v>
      </x:c>
      <x:c r="B193" t="str">
        <x:v>분당센터</x:v>
      </x:c>
      <x:c r="C193" t="str">
        <x:v>초등 자기주도</x:v>
      </x:c>
      <x:c r="D193" t="str">
        <x:v>설명회</x:v>
      </x:c>
      <x:c r="E193" t="n">
        <x:v>26</x:v>
      </x:c>
      <x:c r="F193" t="n">
        <x:v>10</x:v>
      </x:c>
      <x:c r="G193" t="n">
        <x:v>3</x:v>
      </x:c>
      <x:c r="H193" s="3" t="n">
        <x:v>2170000</x:v>
      </x:c>
      <x:c r="I193" s="3" t="n">
        <x:v>0</x:v>
      </x:c>
      <x:c r="J193" s="3" t="n">
        <x:v>70000</x:v>
      </x:c>
      <x:c r="K193" t="str"/>
    </x:row>
    <x:row r="194">
      <x:c r="A194" t="str">
        <x:v>2026-07</x:v>
      </x:c>
      <x:c r="B194" t="str">
        <x:v>송파센터</x:v>
      </x:c>
      <x:c r="C194" t="str">
        <x:v>학부모 코칭</x:v>
      </x:c>
      <x:c r="D194" t="str">
        <x:v>홈페이지</x:v>
      </x:c>
      <x:c r="E194" t="n">
        <x:v>35</x:v>
      </x:c>
      <x:c r="F194" t="n">
        <x:v>23</x:v>
      </x:c>
      <x:c r="G194" t="n">
        <x:v>10</x:v>
      </x:c>
      <x:c r="H194" s="3" t="n">
        <x:v>7290000</x:v>
      </x:c>
      <x:c r="I194" s="3" t="n">
        <x:v>0</x:v>
      </x:c>
      <x:c r="J194" s="3" t="n">
        <x:v>80000</x:v>
      </x:c>
      <x:c r="K194" t="str"/>
    </x:row>
    <x:row r="195">
      <x:c r="A195" t="str">
        <x:v>2026-07</x:v>
      </x:c>
      <x:c r="B195" t="str">
        <x:v>송파센터</x:v>
      </x:c>
      <x:c r="C195" t="str">
        <x:v>중등 내신</x:v>
      </x:c>
      <x:c r="D195" t="str">
        <x:v>블로그</x:v>
      </x:c>
      <x:c r="E195" t="n">
        <x:v>95</x:v>
      </x:c>
      <x:c r="F195" t="n">
        <x:v>42</x:v>
      </x:c>
      <x:c r="G195" t="n">
        <x:v>18</x:v>
      </x:c>
      <x:c r="H195" s="3" t="n">
        <x:v>11400000</x:v>
      </x:c>
      <x:c r="I195" s="3" t="n">
        <x:v>0</x:v>
      </x:c>
      <x:c r="J195" s="3" t="n">
        <x:v>190000</x:v>
      </x:c>
      <x:c r="K195" t="str"/>
    </x:row>
    <x:row r="196">
      <x:c r="A196" t="str">
        <x:v>2026-07</x:v>
      </x:c>
      <x:c r="B196" t="str">
        <x:v>송파센터</x:v>
      </x:c>
      <x:c r="C196" t="str">
        <x:v>AI 학습관리</x:v>
      </x:c>
      <x:c r="D196" t="str">
        <x:v>카카오채널</x:v>
      </x:c>
      <x:c r="E196" t="n">
        <x:v>27</x:v>
      </x:c>
      <x:c r="F196" t="n">
        <x:v>14</x:v>
      </x:c>
      <x:c r="G196" t="n">
        <x:v>6</x:v>
      </x:c>
      <x:c r="H196" s="3" t="n">
        <x:v>4890000</x:v>
      </x:c>
      <x:c r="I196" s="3" t="n">
        <x:v>1</x:v>
      </x:c>
      <x:c r="J196" s="3" t="n">
        <x:v>40000</x:v>
      </x:c>
      <x:c r="K196" t="str"/>
    </x:row>
    <x:row r="197">
      <x:c r="A197" t="str">
        <x:v>2026-07</x:v>
      </x:c>
      <x:c r="B197" t="str">
        <x:v>송파센터</x:v>
      </x:c>
      <x:c r="C197" t="str">
        <x:v>학부모 코칭</x:v>
      </x:c>
      <x:c r="D197" t="str">
        <x:v>네이버광고</x:v>
      </x:c>
      <x:c r="E197" t="n">
        <x:v>83</x:v>
      </x:c>
      <x:c r="F197" t="n">
        <x:v>56</x:v>
      </x:c>
      <x:c r="G197" t="n">
        <x:v>14</x:v>
      </x:c>
      <x:c r="H197" s="3" t="n">
        <x:v>11940000</x:v>
      </x:c>
      <x:c r="I197" s="3" t="n">
        <x:v>0</x:v>
      </x:c>
      <x:c r="J197" s="3" t="n">
        <x:v>790000</x:v>
      </x:c>
      <x:c r="K197" t="str"/>
    </x:row>
    <x:row r="198">
      <x:c r="A198" t="str">
        <x:v>2026-07</x:v>
      </x:c>
      <x:c r="B198" t="str">
        <x:v>송파센터</x:v>
      </x:c>
      <x:c r="C198" t="str">
        <x:v>중등 내신</x:v>
      </x:c>
      <x:c r="D198" t="str">
        <x:v>지인추천</x:v>
      </x:c>
      <x:c r="E198" t="n">
        <x:v>70</x:v>
      </x:c>
      <x:c r="F198" t="n">
        <x:v>32</x:v>
      </x:c>
      <x:c r="G198" t="n">
        <x:v>13</x:v>
      </x:c>
      <x:c r="H198" s="3" t="n">
        <x:v>9780000</x:v>
      </x:c>
      <x:c r="I198" s="3" t="n">
        <x:v>1</x:v>
      </x:c>
      <x:c r="J198" s="3" t="n">
        <x:v>150000</x:v>
      </x:c>
      <x:c r="K198" t="str"/>
    </x:row>
    <x:row r="199">
      <x:c r="A199" t="str">
        <x:v>2026-07</x:v>
      </x:c>
      <x:c r="B199" t="str">
        <x:v>송파센터</x:v>
      </x:c>
      <x:c r="C199" t="str">
        <x:v>초등 자기주도</x:v>
      </x:c>
      <x:c r="D199" t="str">
        <x:v>설명회</x:v>
      </x:c>
      <x:c r="E199" t="n">
        <x:v>24</x:v>
      </x:c>
      <x:c r="F199" t="n">
        <x:v>11</x:v>
      </x:c>
      <x:c r="G199" t="n">
        <x:v>2</x:v>
      </x:c>
      <x:c r="H199" s="3" t="n">
        <x:v>960000</x:v>
      </x:c>
      <x:c r="I199" s="3" t="n">
        <x:v>0</x:v>
      </x:c>
      <x:c r="J199" s="3" t="n">
        <x:v>50000</x:v>
      </x:c>
      <x:c r="K199" t="str"/>
    </x:row>
    <x:row r="200">
      <x:c r="A200" t="str">
        <x:v>2026-07</x:v>
      </x:c>
      <x:c r="B200" t="str">
        <x:v>목동센터</x:v>
      </x:c>
      <x:c r="C200" t="str">
        <x:v>학부모 코칭</x:v>
      </x:c>
      <x:c r="D200" t="str">
        <x:v>홈페이지</x:v>
      </x:c>
      <x:c r="E200" t="n">
        <x:v>86</x:v>
      </x:c>
      <x:c r="F200" t="n">
        <x:v>36</x:v>
      </x:c>
      <x:c r="G200" t="n">
        <x:v>10</x:v>
      </x:c>
      <x:c r="H200" s="3" t="n">
        <x:v>8780000</x:v>
      </x:c>
      <x:c r="I200" s="3" t="n">
        <x:v>0</x:v>
      </x:c>
      <x:c r="J200" s="3" t="n">
        <x:v>320000</x:v>
      </x:c>
      <x:c r="K200" t="str"/>
    </x:row>
    <x:row r="201">
      <x:c r="A201" t="str">
        <x:v>2026-07</x:v>
      </x:c>
      <x:c r="B201" t="str">
        <x:v>목동센터</x:v>
      </x:c>
      <x:c r="C201" t="str">
        <x:v>중등 내신</x:v>
      </x:c>
      <x:c r="D201" t="str">
        <x:v>블로그</x:v>
      </x:c>
      <x:c r="E201" t="n">
        <x:v>79</x:v>
      </x:c>
      <x:c r="F201" t="n">
        <x:v>53</x:v>
      </x:c>
      <x:c r="G201" t="n">
        <x:v>27</x:v>
      </x:c>
      <x:c r="H201" s="3" t="n">
        <x:v>26220000</x:v>
      </x:c>
      <x:c r="I201" s="3" t="n">
        <x:v>1</x:v>
      </x:c>
      <x:c r="J201" s="3" t="n">
        <x:v>130000</x:v>
      </x:c>
      <x:c r="K201" t="str"/>
    </x:row>
    <x:row r="202">
      <x:c r="A202" t="str">
        <x:v>2026-07</x:v>
      </x:c>
      <x:c r="B202" t="str">
        <x:v>목동센터</x:v>
      </x:c>
      <x:c r="C202" t="str">
        <x:v>초등 자기주도</x:v>
      </x:c>
      <x:c r="D202" t="str">
        <x:v>카카오채널</x:v>
      </x:c>
      <x:c r="E202" t="n">
        <x:v>78</x:v>
      </x:c>
      <x:c r="F202" t="n">
        <x:v>39</x:v>
      </x:c>
      <x:c r="G202" t="n">
        <x:v>13</x:v>
      </x:c>
      <x:c r="H202" s="3" t="n">
        <x:v>12300000</x:v>
      </x:c>
      <x:c r="I202" s="3" t="n">
        <x:v>0</x:v>
      </x:c>
      <x:c r="J202" s="3" t="n">
        <x:v>270000</x:v>
      </x:c>
      <x:c r="K202" t="str"/>
    </x:row>
    <x:row r="203">
      <x:c r="A203" t="str">
        <x:v>2026-07</x:v>
      </x:c>
      <x:c r="B203" t="str">
        <x:v>목동센터</x:v>
      </x:c>
      <x:c r="C203" t="str">
        <x:v>학부모 코칭</x:v>
      </x:c>
      <x:c r="D203" t="str">
        <x:v>네이버광고</x:v>
      </x:c>
      <x:c r="E203" t="n">
        <x:v>45</x:v>
      </x:c>
      <x:c r="F203" t="n">
        <x:v>19</x:v>
      </x:c>
      <x:c r="G203" t="n">
        <x:v>9</x:v>
      </x:c>
      <x:c r="H203" s="3" t="n">
        <x:v>4710000</x:v>
      </x:c>
      <x:c r="I203" s="3" t="n">
        <x:v>0</x:v>
      </x:c>
      <x:c r="J203" s="3" t="n">
        <x:v>670000</x:v>
      </x:c>
      <x:c r="K203" t="str"/>
    </x:row>
    <x:row r="204">
      <x:c r="A204" t="str">
        <x:v>2026-07</x:v>
      </x:c>
      <x:c r="B204" t="str">
        <x:v>목동센터</x:v>
      </x:c>
      <x:c r="C204" t="str">
        <x:v>중등 내신</x:v>
      </x:c>
      <x:c r="D204" t="str">
        <x:v>지인추천</x:v>
      </x:c>
      <x:c r="E204" t="n">
        <x:v>46</x:v>
      </x:c>
      <x:c r="F204" t="n">
        <x:v>22</x:v>
      </x:c>
      <x:c r="G204" t="n">
        <x:v>8</x:v>
      </x:c>
      <x:c r="H204" s="3" t="n">
        <x:v>5100000</x:v>
      </x:c>
      <x:c r="I204" s="3" t="n">
        <x:v>1</x:v>
      </x:c>
      <x:c r="J204" s="3" t="n">
        <x:v>140000</x:v>
      </x:c>
      <x:c r="K204" t="str"/>
    </x:row>
    <x:row r="205">
      <x:c r="A205" t="str">
        <x:v>2026-07</x:v>
      </x:c>
      <x:c r="B205" t="str">
        <x:v>목동센터</x:v>
      </x:c>
      <x:c r="C205" t="str">
        <x:v>초등 자기주도</x:v>
      </x:c>
      <x:c r="D205" t="str">
        <x:v>설명회</x:v>
      </x:c>
      <x:c r="E205" t="n">
        <x:v>66</x:v>
      </x:c>
      <x:c r="F205" t="n">
        <x:v>39</x:v>
      </x:c>
      <x:c r="G205" t="n">
        <x:v>18</x:v>
      </x:c>
      <x:c r="H205" s="3" t="n">
        <x:v>12520000</x:v>
      </x:c>
      <x:c r="I205" s="3" t="n">
        <x:v>0</x:v>
      </x:c>
      <x:c r="J205" s="3" t="n">
        <x:v>90000</x:v>
      </x:c>
      <x:c r="K205" t="str"/>
    </x:row>
    <x:row r="206">
      <x:c r="A206" t="str">
        <x:v>2026-07</x:v>
      </x:c>
      <x:c r="B206" t="str">
        <x:v>대전센터</x:v>
      </x:c>
      <x:c r="C206" t="str">
        <x:v>학부모 코칭</x:v>
      </x:c>
      <x:c r="D206" t="str">
        <x:v>홈페이지</x:v>
      </x:c>
      <x:c r="E206" t="n">
        <x:v>32</x:v>
      </x:c>
      <x:c r="F206" t="n">
        <x:v>17</x:v>
      </x:c>
      <x:c r="G206" t="n">
        <x:v>6</x:v>
      </x:c>
      <x:c r="H206" s="3" t="n">
        <x:v>5170000</x:v>
      </x:c>
      <x:c r="I206" s="3" t="n">
        <x:v>2</x:v>
      </x:c>
      <x:c r="J206" s="3" t="n">
        <x:v>100000</x:v>
      </x:c>
      <x:c r="K206" t="str"/>
    </x:row>
    <x:row r="207">
      <x:c r="A207" t="str">
        <x:v>2026-07</x:v>
      </x:c>
      <x:c r="B207" t="str">
        <x:v>대전센터</x:v>
      </x:c>
      <x:c r="C207" t="str">
        <x:v>고등 입시</x:v>
      </x:c>
      <x:c r="D207" t="str">
        <x:v>블로그</x:v>
      </x:c>
      <x:c r="E207" t="n">
        <x:v>24</x:v>
      </x:c>
      <x:c r="F207" t="n">
        <x:v>15</x:v>
      </x:c>
      <x:c r="G207" t="n">
        <x:v>7</x:v>
      </x:c>
      <x:c r="H207" s="3" t="n">
        <x:v>5580000</x:v>
      </x:c>
      <x:c r="I207" s="3" t="n">
        <x:v>0</x:v>
      </x:c>
      <x:c r="J207" s="3" t="n">
        <x:v>40000</x:v>
      </x:c>
      <x:c r="K207" t="str"/>
    </x:row>
    <x:row r="208">
      <x:c r="A208" t="str">
        <x:v>2026-07</x:v>
      </x:c>
      <x:c r="B208" t="str">
        <x:v>대전센터</x:v>
      </x:c>
      <x:c r="C208" t="str">
        <x:v>초등 자기주도</x:v>
      </x:c>
      <x:c r="D208" t="str">
        <x:v>카카오채널</x:v>
      </x:c>
      <x:c r="E208" t="n">
        <x:v>51</x:v>
      </x:c>
      <x:c r="F208" t="n">
        <x:v>30</x:v>
      </x:c>
      <x:c r="G208" t="n">
        <x:v>7</x:v>
      </x:c>
      <x:c r="H208" s="3" t="n">
        <x:v>3610000</x:v>
      </x:c>
      <x:c r="I208" s="3" t="n">
        <x:v>0</x:v>
      </x:c>
      <x:c r="J208" s="3" t="n">
        <x:v>160000</x:v>
      </x:c>
      <x:c r="K208" t="str"/>
    </x:row>
    <x:row r="209">
      <x:c r="A209" t="str">
        <x:v>2026-07</x:v>
      </x:c>
      <x:c r="B209" t="str">
        <x:v>대전센터</x:v>
      </x:c>
      <x:c r="C209" t="str">
        <x:v>학부모 코칭</x:v>
      </x:c>
      <x:c r="D209" t="str">
        <x:v>네이버광고</x:v>
      </x:c>
      <x:c r="E209" t="n">
        <x:v>29</x:v>
      </x:c>
      <x:c r="F209" t="n">
        <x:v>13</x:v>
      </x:c>
      <x:c r="G209" t="n">
        <x:v>6</x:v>
      </x:c>
      <x:c r="H209" s="3" t="n">
        <x:v>5350000</x:v>
      </x:c>
      <x:c r="I209" s="3" t="n">
        <x:v>1</x:v>
      </x:c>
      <x:c r="J209" s="3" t="n">
        <x:v>400000</x:v>
      </x:c>
      <x:c r="K209" t="str">
        <x:v>센터명 표기 확인 필요</x:v>
      </x:c>
    </x:row>
    <x:row r="210">
      <x:c r="A210" t="str">
        <x:v>2026-07</x:v>
      </x:c>
      <x:c r="B210" t="str">
        <x:v>대전센터</x:v>
      </x:c>
      <x:c r="C210" t="str">
        <x:v>고등 입시</x:v>
      </x:c>
      <x:c r="D210" t="str">
        <x:v>지인추천</x:v>
      </x:c>
      <x:c r="E210" t="n">
        <x:v>30</x:v>
      </x:c>
      <x:c r="F210" t="n">
        <x:v>12</x:v>
      </x:c>
      <x:c r="G210" t="n">
        <x:v>6</x:v>
      </x:c>
      <x:c r="H210" s="3" t="n">
        <x:v>4470000</x:v>
      </x:c>
      <x:c r="I210" s="3" t="n">
        <x:v>0</x:v>
      </x:c>
      <x:c r="J210" s="3" t="n">
        <x:v>60000</x:v>
      </x:c>
      <x:c r="K210" t="str"/>
    </x:row>
    <x:row r="211">
      <x:c r="A211" t="str">
        <x:v>2026-07</x:v>
      </x:c>
      <x:c r="B211" t="str">
        <x:v>대전센터</x:v>
      </x:c>
      <x:c r="C211" t="str">
        <x:v>초등 자기주도</x:v>
      </x:c>
      <x:c r="D211" t="str">
        <x:v>설명회</x:v>
      </x:c>
      <x:c r="E211" t="n">
        <x:v>78</x:v>
      </x:c>
      <x:c r="F211" t="n">
        <x:v>44</x:v>
      </x:c>
      <x:c r="G211" t="n">
        <x:v>17</x:v>
      </x:c>
      <x:c r="H211" s="3" t="n">
        <x:v>13900000</x:v>
      </x:c>
      <x:c r="I211" s="3" t="n">
        <x:v>0</x:v>
      </x:c>
      <x:c r="J211" s="3" t="n">
        <x:v>230000</x:v>
      </x:c>
      <x:c r="K211" t="str">
        <x:v>센터명 표기 확인 필요</x:v>
      </x:c>
    </x:row>
    <x:row r="212">
      <x:c r="A212" t="str">
        <x:v>2026-07</x:v>
      </x:c>
      <x:c r="B212" t="str">
        <x:v>부산센터</x:v>
      </x:c>
      <x:c r="C212" t="str">
        <x:v>학부모 코칭</x:v>
      </x:c>
      <x:c r="D212" t="str">
        <x:v>홈페이지</x:v>
      </x:c>
      <x:c r="E212" t="n">
        <x:v>39</x:v>
      </x:c>
      <x:c r="F212" t="n">
        <x:v>27</x:v>
      </x:c>
      <x:c r="G212" t="n">
        <x:v>8</x:v>
      </x:c>
      <x:c r="H212" s="3" t="n">
        <x:v>5230000</x:v>
      </x:c>
      <x:c r="I212" s="3" t="n">
        <x:v>0</x:v>
      </x:c>
      <x:c r="J212" s="3" t="n">
        <x:v>140000</x:v>
      </x:c>
      <x:c r="K212" t="str"/>
    </x:row>
    <x:row r="213">
      <x:c r="A213" t="str">
        <x:v>2026-07</x:v>
      </x:c>
      <x:c r="B213" t="str">
        <x:v>부산센터</x:v>
      </x:c>
      <x:c r="C213" t="str">
        <x:v>중등 내신</x:v>
      </x:c>
      <x:c r="D213" t="str">
        <x:v>블로그</x:v>
      </x:c>
      <x:c r="E213" t="n">
        <x:v>52</x:v>
      </x:c>
      <x:c r="F213" t="n">
        <x:v>26</x:v>
      </x:c>
      <x:c r="G213" t="n">
        <x:v>5</x:v>
      </x:c>
      <x:c r="H213" s="3" t="n">
        <x:v>4060000</x:v>
      </x:c>
      <x:c r="I213" s="3" t="n">
        <x:v>0</x:v>
      </x:c>
      <x:c r="J213" s="3" t="n">
        <x:v>110000</x:v>
      </x:c>
      <x:c r="K213" t="str"/>
    </x:row>
    <x:row r="214">
      <x:c r="A214" t="str">
        <x:v>2026-07</x:v>
      </x:c>
      <x:c r="B214" t="str">
        <x:v>부산센터</x:v>
      </x:c>
      <x:c r="C214" t="str">
        <x:v>AI 학습관리</x:v>
      </x:c>
      <x:c r="D214" t="str">
        <x:v>카카오채널</x:v>
      </x:c>
      <x:c r="E214" t="n">
        <x:v>71</x:v>
      </x:c>
      <x:c r="F214" t="n">
        <x:v>36</x:v>
      </x:c>
      <x:c r="G214" t="n">
        <x:v>13</x:v>
      </x:c>
      <x:c r="H214" s="3" t="n">
        <x:v>12730000</x:v>
      </x:c>
      <x:c r="I214" s="3" t="n">
        <x:v>0</x:v>
      </x:c>
      <x:c r="J214" s="3" t="n">
        <x:v>110000</x:v>
      </x:c>
      <x:c r="K214" t="str"/>
    </x:row>
    <x:row r="215">
      <x:c r="A215" t="str">
        <x:v>2026-07</x:v>
      </x:c>
      <x:c r="B215" t="str">
        <x:v>부산센터</x:v>
      </x:c>
      <x:c r="C215" t="str">
        <x:v>고등 입시</x:v>
      </x:c>
      <x:c r="D215" t="str">
        <x:v>네이버광고</x:v>
      </x:c>
      <x:c r="E215" t="n">
        <x:v>30</x:v>
      </x:c>
      <x:c r="F215" t="n">
        <x:v>12</x:v>
      </x:c>
      <x:c r="G215" t="n">
        <x:v>3</x:v>
      </x:c>
      <x:c r="H215" s="3" t="n">
        <x:v>1570000</x:v>
      </x:c>
      <x:c r="I215" s="3" t="n">
        <x:v>1</x:v>
      </x:c>
      <x:c r="J215" s="3" t="n">
        <x:v>450000</x:v>
      </x:c>
      <x:c r="K215" t="str">
        <x:v>설명회 유입 포함</x:v>
      </x:c>
    </x:row>
    <x:row r="216">
      <x:c r="A216" t="str">
        <x:v>2026-07</x:v>
      </x:c>
      <x:c r="B216" t="str">
        <x:v>부산센터</x:v>
      </x:c>
      <x:c r="C216" t="str">
        <x:v>중등 내신</x:v>
      </x:c>
      <x:c r="D216" t="str">
        <x:v>지인추천</x:v>
      </x:c>
      <x:c r="E216" t="n">
        <x:v>70</x:v>
      </x:c>
      <x:c r="F216" t="n">
        <x:v>39</x:v>
      </x:c>
      <x:c r="G216" t="n">
        <x:v>8</x:v>
      </x:c>
      <x:c r="H216" s="3" t="n">
        <x:v>5910000</x:v>
      </x:c>
      <x:c r="I216" s="3" t="n">
        <x:v>0</x:v>
      </x:c>
      <x:c r="J216" s="3" t="n">
        <x:v>90000</x:v>
      </x:c>
      <x:c r="K216" t="str"/>
    </x:row>
    <x:row r="217">
      <x:c r="A217" t="str">
        <x:v>2026-07</x:v>
      </x:c>
      <x:c r="B217" t="str">
        <x:v>부산센터</x:v>
      </x:c>
      <x:c r="C217" t="str">
        <x:v>AI 학습관리</x:v>
      </x:c>
      <x:c r="D217" t="str">
        <x:v>설명회</x:v>
      </x:c>
      <x:c r="E217" t="n">
        <x:v>79</x:v>
      </x:c>
      <x:c r="F217" t="n">
        <x:v>42</x:v>
      </x:c>
      <x:c r="G217" t="n">
        <x:v>21</x:v>
      </x:c>
      <x:c r="H217" s="3" t="n">
        <x:v>12900000</x:v>
      </x:c>
      <x:c r="I217" s="3" t="n">
        <x:v>0</x:v>
      </x:c>
      <x:c r="J217" s="3" t="n">
        <x:v>230000</x:v>
      </x:c>
      <x:c r="K217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2" t="str">
        <x:v>month</x:v>
      </x:c>
      <x:c r="B1" s="2" t="str">
        <x:v>center</x:v>
      </x:c>
      <x:c r="C1" s="2" t="str">
        <x:v>course</x:v>
      </x:c>
      <x:c r="D1" s="2" t="str">
        <x:v>channel</x:v>
      </x:c>
      <x:c r="E1" s="2" t="str">
        <x:v>lead_count</x:v>
      </x:c>
      <x:c r="F1" s="2" t="str">
        <x:v>consult_count</x:v>
      </x:c>
      <x:c r="G1" s="2" t="str">
        <x:v>enroll_count</x:v>
      </x:c>
      <x:c r="H1" s="2" t="str">
        <x:v>revenue</x:v>
      </x:c>
      <x:c r="I1" s="2" t="str">
        <x:v>refund_count</x:v>
      </x:c>
      <x:c r="J1" s="2" t="str">
        <x:v>ad_cost</x:v>
      </x:c>
      <x:c r="K1" s="2" t="str">
        <x:v>note</x:v>
      </x:c>
      <x:c r="L1" s="2" t="str">
        <x:v>consult_rate</x:v>
      </x:c>
      <x:c r="M1" s="2" t="str">
        <x:v>enroll_rate</x:v>
      </x:c>
      <x:c r="N1" s="2" t="str">
        <x:v>refund_rate</x:v>
      </x:c>
      <x:c r="O1" s="2" t="str">
        <x:v>roi</x:v>
      </x:c>
    </x:row>
    <x:row r="2">
      <x:c r="A2" t="str">
        <x:f>'RAW_센터채널성과'!A2</x:f>
        <x:v>2026-02</x:v>
      </x:c>
      <x:c r="B2" t="str">
        <x:f>'RAW_센터채널성과'!B2</x:f>
        <x:v>강남센터</x:v>
      </x:c>
      <x:c r="C2" t="str">
        <x:f>'RAW_센터채널성과'!C2</x:f>
        <x:v>고등 입시</x:v>
      </x:c>
      <x:c r="D2" t="str">
        <x:f>'RAW_센터채널성과'!D2</x:f>
        <x:v>홈페이지</x:v>
      </x:c>
      <x:c r="E2" t="n">
        <x:f>'RAW_센터채널성과'!E2</x:f>
        <x:v>26</x:v>
      </x:c>
      <x:c r="F2" t="n">
        <x:f>'RAW_센터채널성과'!F2</x:f>
        <x:v>11</x:v>
      </x:c>
      <x:c r="G2" t="n">
        <x:f>'RAW_센터채널성과'!G2</x:f>
        <x:v>5</x:v>
      </x:c>
      <x:c r="H2" s="3" t="n">
        <x:f>'RAW_센터채널성과'!H2</x:f>
        <x:v>3580000</x:v>
      </x:c>
      <x:c r="I2" s="3" t="n">
        <x:f>'RAW_센터채널성과'!I2</x:f>
        <x:v>0</x:v>
      </x:c>
      <x:c r="J2" s="3" t="n">
        <x:f>'RAW_센터채널성과'!J2</x:f>
        <x:v>60000</x:v>
      </x:c>
      <x:c r="K2" t="n">
        <x:f>'RAW_센터채널성과'!K2</x:f>
        <x:v>0</x:v>
      </x:c>
      <x:c r="L2" s="4" t="n">
        <x:f>IFERROR(F2/E2,0)</x:f>
        <x:v>0.4230769230769231</x:v>
      </x:c>
      <x:c r="M2" s="4" t="n">
        <x:f>IFERROR(G2/F2,0)</x:f>
        <x:v>0.45454545454545453</x:v>
      </x:c>
      <x:c r="N2" s="4" t="n">
        <x:f>IFERROR(I2/G2,0)</x:f>
        <x:v>0</x:v>
      </x:c>
      <x:c r="O2" s="5" t="n">
        <x:f>IFERROR(H2/J2,0)</x:f>
        <x:v>59.666666666666664</x:v>
      </x:c>
    </x:row>
    <x:row r="3">
      <x:c r="A3" t="str">
        <x:f>'RAW_센터채널성과'!A3</x:f>
        <x:v>2026-02</x:v>
      </x:c>
      <x:c r="B3" t="str">
        <x:f>'RAW_센터채널성과'!B3</x:f>
        <x:v>강남센터</x:v>
      </x:c>
      <x:c r="C3" t="str">
        <x:f>'RAW_센터채널성과'!C3</x:f>
        <x:v>초등 자기주도</x:v>
      </x:c>
      <x:c r="D3" t="str">
        <x:f>'RAW_센터채널성과'!D3</x:f>
        <x:v>블로그</x:v>
      </x:c>
      <x:c r="E3" t="n">
        <x:f>'RAW_센터채널성과'!E3</x:f>
        <x:v>41</x:v>
      </x:c>
      <x:c r="F3" t="n">
        <x:f>'RAW_센터채널성과'!F3</x:f>
        <x:v>22</x:v>
      </x:c>
      <x:c r="G3" t="n">
        <x:f>'RAW_센터채널성과'!G3</x:f>
        <x:v>8</x:v>
      </x:c>
      <x:c r="H3" s="3" t="n">
        <x:f>'RAW_센터채널성과'!H3</x:f>
        <x:v>7000000</x:v>
      </x:c>
      <x:c r="I3" s="3" t="n">
        <x:f>'RAW_센터채널성과'!I3</x:f>
        <x:v>0</x:v>
      </x:c>
      <x:c r="J3" s="3" t="n">
        <x:f>'RAW_센터채널성과'!J3</x:f>
        <x:v>120000</x:v>
      </x:c>
      <x:c r="K3" t="n">
        <x:f>'RAW_센터채널성과'!K3</x:f>
        <x:v>0</x:v>
      </x:c>
      <x:c r="L3" s="4" t="n">
        <x:f>IFERROR(F3/E3,0)</x:f>
        <x:v>0.5365853658536586</x:v>
      </x:c>
      <x:c r="M3" s="4" t="n">
        <x:f>IFERROR(G3/F3,0)</x:f>
        <x:v>0.36363636363636365</x:v>
      </x:c>
      <x:c r="N3" s="4" t="n">
        <x:f>IFERROR(I3/G3,0)</x:f>
        <x:v>0</x:v>
      </x:c>
      <x:c r="O3" s="5" t="n">
        <x:f>IFERROR(H3/J3,0)</x:f>
        <x:v>58.333333333333336</x:v>
      </x:c>
    </x:row>
    <x:row r="4">
      <x:c r="A4" t="str">
        <x:f>'RAW_센터채널성과'!A4</x:f>
        <x:v>2026-02</x:v>
      </x:c>
      <x:c r="B4" t="str">
        <x:f>'RAW_센터채널성과'!B4</x:f>
        <x:v>강남센터</x:v>
      </x:c>
      <x:c r="C4" t="str">
        <x:f>'RAW_센터채널성과'!C4</x:f>
        <x:v>학부모 코칭</x:v>
      </x:c>
      <x:c r="D4" t="str">
        <x:f>'RAW_센터채널성과'!D4</x:f>
        <x:v>카카오채널</x:v>
      </x:c>
      <x:c r="E4" t="n">
        <x:f>'RAW_센터채널성과'!E4</x:f>
        <x:v>73</x:v>
      </x:c>
      <x:c r="F4" t="n">
        <x:f>'RAW_센터채널성과'!F4</x:f>
        <x:v>34</x:v>
      </x:c>
      <x:c r="G4" t="n">
        <x:f>'RAW_센터채널성과'!G4</x:f>
        <x:v>8</x:v>
      </x:c>
      <x:c r="H4" s="3" t="n">
        <x:f>'RAW_센터채널성과'!H4</x:f>
        <x:v>7280000</x:v>
      </x:c>
      <x:c r="I4" s="3" t="n">
        <x:f>'RAW_센터채널성과'!I4</x:f>
        <x:v>0</x:v>
      </x:c>
      <x:c r="J4" s="3" t="n">
        <x:f>'RAW_센터채널성과'!J4</x:f>
        <x:v>130000</x:v>
      </x:c>
      <x:c r="K4" t="n">
        <x:f>'RAW_센터채널성과'!K4</x:f>
        <x:v>0</x:v>
      </x:c>
      <x:c r="L4" s="4" t="n">
        <x:f>IFERROR(F4/E4,0)</x:f>
        <x:v>0.4657534246575342</x:v>
      </x:c>
      <x:c r="M4" s="4" t="n">
        <x:f>IFERROR(G4/F4,0)</x:f>
        <x:v>0.23529411764705882</x:v>
      </x:c>
      <x:c r="N4" s="4" t="n">
        <x:f>IFERROR(I4/G4,0)</x:f>
        <x:v>0</x:v>
      </x:c>
      <x:c r="O4" s="5" t="n">
        <x:f>IFERROR(H4/J4,0)</x:f>
        <x:v>56</x:v>
      </x:c>
    </x:row>
    <x:row r="5">
      <x:c r="A5" t="str">
        <x:f>'RAW_센터채널성과'!A5</x:f>
        <x:v>2026-02</x:v>
      </x:c>
      <x:c r="B5" t="str">
        <x:f>'RAW_센터채널성과'!B5</x:f>
        <x:v>강남센터</x:v>
      </x:c>
      <x:c r="C5" t="str">
        <x:f>'RAW_센터채널성과'!C5</x:f>
        <x:v>중등 내신</x:v>
      </x:c>
      <x:c r="D5" t="str">
        <x:f>'RAW_센터채널성과'!D5</x:f>
        <x:v>네이버광고</x:v>
      </x:c>
      <x:c r="E5" t="n">
        <x:f>'RAW_센터채널성과'!E5</x:f>
        <x:v>78</x:v>
      </x:c>
      <x:c r="F5" t="n">
        <x:f>'RAW_센터채널성과'!F5</x:f>
        <x:v>53</x:v>
      </x:c>
      <x:c r="G5" t="n">
        <x:f>'RAW_센터채널성과'!G5</x:f>
        <x:v>12</x:v>
      </x:c>
      <x:c r="H5" s="3" t="n">
        <x:f>'RAW_센터채널성과'!H5</x:f>
        <x:v>10590000</x:v>
      </x:c>
      <x:c r="I5" s="3" t="n">
        <x:f>'RAW_센터채널성과'!I5</x:f>
        <x:v>0</x:v>
      </x:c>
      <x:c r="J5" s="3" t="n">
        <x:f>'RAW_센터채널성과'!J5</x:f>
        <x:v>920000</x:v>
      </x:c>
      <x:c r="K5" t="str">
        <x:f>'RAW_센터채널성과'!K5</x:f>
        <x:v>설명회 유입 포함</x:v>
      </x:c>
      <x:c r="L5" s="4" t="n">
        <x:f>IFERROR(F5/E5,0)</x:f>
        <x:v>0.6794871794871795</x:v>
      </x:c>
      <x:c r="M5" s="4" t="n">
        <x:f>IFERROR(G5/F5,0)</x:f>
        <x:v>0.22641509433962265</x:v>
      </x:c>
      <x:c r="N5" s="4" t="n">
        <x:f>IFERROR(I5/G5,0)</x:f>
        <x:v>0</x:v>
      </x:c>
      <x:c r="O5" s="5" t="n">
        <x:f>IFERROR(H5/J5,0)</x:f>
        <x:v>11.51086956521739</x:v>
      </x:c>
    </x:row>
    <x:row r="6">
      <x:c r="A6" t="str">
        <x:f>'RAW_센터채널성과'!A6</x:f>
        <x:v>2026-02</x:v>
      </x:c>
      <x:c r="B6" t="str">
        <x:f>'RAW_센터채널성과'!B6</x:f>
        <x:v>강남센터</x:v>
      </x:c>
      <x:c r="C6" t="str">
        <x:f>'RAW_센터채널성과'!C6</x:f>
        <x:v>AI 학습관리</x:v>
      </x:c>
      <x:c r="D6" t="str">
        <x:f>'RAW_센터채널성과'!D6</x:f>
        <x:v>지인추천</x:v>
      </x:c>
      <x:c r="E6" t="n">
        <x:f>'RAW_센터채널성과'!E6</x:f>
        <x:v>26</x:v>
      </x:c>
      <x:c r="F6" t="n">
        <x:f>'RAW_센터채널성과'!F6</x:f>
        <x:v>17</x:v>
      </x:c>
      <x:c r="G6" t="n">
        <x:f>'RAW_센터채널성과'!G6</x:f>
        <x:v>7</x:v>
      </x:c>
      <x:c r="H6" s="3" t="n">
        <x:f>'RAW_센터채널성과'!H6</x:f>
        <x:v>5010000</x:v>
      </x:c>
      <x:c r="I6" s="3" t="n">
        <x:f>'RAW_센터채널성과'!I6</x:f>
        <x:v>0</x:v>
      </x:c>
      <x:c r="J6" s="3" t="n">
        <x:f>'RAW_센터채널성과'!J6</x:f>
        <x:v>50000</x:v>
      </x:c>
      <x:c r="K6" t="n">
        <x:f>'RAW_센터채널성과'!K6</x:f>
        <x:v>0</x:v>
      </x:c>
      <x:c r="L6" s="4" t="n">
        <x:f>IFERROR(F6/E6,0)</x:f>
        <x:v>0.6538461538461539</x:v>
      </x:c>
      <x:c r="M6" s="4" t="n">
        <x:f>IFERROR(G6/F6,0)</x:f>
        <x:v>0.4117647058823529</x:v>
      </x:c>
      <x:c r="N6" s="4" t="n">
        <x:f>IFERROR(I6/G6,0)</x:f>
        <x:v>0</x:v>
      </x:c>
      <x:c r="O6" s="5" t="n">
        <x:f>IFERROR(H6/J6,0)</x:f>
        <x:v>100.2</x:v>
      </x:c>
    </x:row>
    <x:row r="7">
      <x:c r="A7" t="str">
        <x:f>'RAW_센터채널성과'!A7</x:f>
        <x:v>2026-02</x:v>
      </x:c>
      <x:c r="B7" t="str">
        <x:f>'RAW_센터채널성과'!B7</x:f>
        <x:v>강남센터</x:v>
      </x:c>
      <x:c r="C7" t="str">
        <x:f>'RAW_센터채널성과'!C7</x:f>
        <x:v>고등 입시</x:v>
      </x:c>
      <x:c r="D7" t="str">
        <x:f>'RAW_센터채널성과'!D7</x:f>
        <x:v>설명회</x:v>
      </x:c>
      <x:c r="E7" t="n">
        <x:f>'RAW_센터채널성과'!E7</x:f>
        <x:v>46</x:v>
      </x:c>
      <x:c r="F7" t="n">
        <x:f>'RAW_센터채널성과'!F7</x:f>
        <x:v>21</x:v>
      </x:c>
      <x:c r="G7" t="n">
        <x:f>'RAW_센터채널성과'!G7</x:f>
        <x:v>5</x:v>
      </x:c>
      <x:c r="H7" s="3" t="n">
        <x:f>'RAW_센터채널성과'!H7</x:f>
        <x:v>3570000</x:v>
      </x:c>
      <x:c r="I7" s="3" t="n">
        <x:f>'RAW_센터채널성과'!I7</x:f>
        <x:v>0</x:v>
      </x:c>
      <x:c r="J7" s="3" t="n">
        <x:f>'RAW_센터채널성과'!J7</x:f>
        <x:v>130000</x:v>
      </x:c>
      <x:c r="K7" t="n">
        <x:f>'RAW_센터채널성과'!K7</x:f>
        <x:v>0</x:v>
      </x:c>
      <x:c r="L7" s="4" t="n">
        <x:f>IFERROR(F7/E7,0)</x:f>
        <x:v>0.45652173913043476</x:v>
      </x:c>
      <x:c r="M7" s="4" t="n">
        <x:f>IFERROR(G7/F7,0)</x:f>
        <x:v>0.23809523809523808</x:v>
      </x:c>
      <x:c r="N7" s="4" t="n">
        <x:f>IFERROR(I7/G7,0)</x:f>
        <x:v>0</x:v>
      </x:c>
      <x:c r="O7" s="5" t="n">
        <x:f>IFERROR(H7/J7,0)</x:f>
        <x:v>27.46153846153846</x:v>
      </x:c>
    </x:row>
    <x:row r="8">
      <x:c r="A8" t="str">
        <x:f>'RAW_센터채널성과'!A8</x:f>
        <x:v>2026-02</x:v>
      </x:c>
      <x:c r="B8" t="str">
        <x:f>'RAW_센터채널성과'!B8</x:f>
        <x:v>분당센터</x:v>
      </x:c>
      <x:c r="C8" t="str">
        <x:f>'RAW_센터채널성과'!C8</x:f>
        <x:v>초등 자기주도</x:v>
      </x:c>
      <x:c r="D8" t="str">
        <x:f>'RAW_센터채널성과'!D8</x:f>
        <x:v>홈페이지</x:v>
      </x:c>
      <x:c r="E8" t="n">
        <x:f>'RAW_센터채널성과'!E8</x:f>
        <x:v>54</x:v>
      </x:c>
      <x:c r="F8" t="n">
        <x:f>'RAW_센터채널성과'!F8</x:f>
        <x:v>36</x:v>
      </x:c>
      <x:c r="G8" t="n">
        <x:f>'RAW_센터채널성과'!G8</x:f>
        <x:v>17</x:v>
      </x:c>
      <x:c r="H8" s="3" t="n">
        <x:f>'RAW_센터채널성과'!H8</x:f>
        <x:v>9870000</x:v>
      </x:c>
      <x:c r="I8" s="3" t="n">
        <x:f>'RAW_센터채널성과'!I8</x:f>
        <x:v>0</x:v>
      </x:c>
      <x:c r="J8" s="3" t="n">
        <x:f>'RAW_센터채널성과'!J8</x:f>
        <x:v>100000</x:v>
      </x:c>
      <x:c r="K8" t="n">
        <x:f>'RAW_센터채널성과'!K8</x:f>
        <x:v>0</x:v>
      </x:c>
      <x:c r="L8" s="4" t="n">
        <x:f>IFERROR(F8/E8,0)</x:f>
        <x:v>0.6666666666666666</x:v>
      </x:c>
      <x:c r="M8" s="4" t="n">
        <x:f>IFERROR(G8/F8,0)</x:f>
        <x:v>0.4722222222222222</x:v>
      </x:c>
      <x:c r="N8" s="4" t="n">
        <x:f>IFERROR(I8/G8,0)</x:f>
        <x:v>0</x:v>
      </x:c>
      <x:c r="O8" s="5" t="n">
        <x:f>IFERROR(H8/J8,0)</x:f>
        <x:v>98.7</x:v>
      </x:c>
    </x:row>
    <x:row r="9">
      <x:c r="A9" t="str">
        <x:f>'RAW_센터채널성과'!A9</x:f>
        <x:v>2026-02</x:v>
      </x:c>
      <x:c r="B9" t="str">
        <x:f>'RAW_센터채널성과'!B9</x:f>
        <x:v>분당센터</x:v>
      </x:c>
      <x:c r="C9" t="str">
        <x:f>'RAW_센터채널성과'!C9</x:f>
        <x:v>학부모 코칭</x:v>
      </x:c>
      <x:c r="D9" t="str">
        <x:f>'RAW_센터채널성과'!D9</x:f>
        <x:v>블로그</x:v>
      </x:c>
      <x:c r="E9" t="n">
        <x:f>'RAW_센터채널성과'!E9</x:f>
        <x:v>63</x:v>
      </x:c>
      <x:c r="F9" t="n">
        <x:f>'RAW_센터채널성과'!F9</x:f>
        <x:v>40</x:v>
      </x:c>
      <x:c r="G9" t="n">
        <x:f>'RAW_센터채널성과'!G9</x:f>
        <x:v>17</x:v>
      </x:c>
      <x:c r="H9" s="3" t="n">
        <x:f>'RAW_센터채널성과'!H9</x:f>
        <x:v>9500000</x:v>
      </x:c>
      <x:c r="I9" s="3" t="n">
        <x:f>'RAW_센터채널성과'!I9</x:f>
        <x:v>2</x:v>
      </x:c>
      <x:c r="J9" s="3" t="n">
        <x:f>'RAW_센터채널성과'!J9</x:f>
        <x:v>110000</x:v>
      </x:c>
      <x:c r="K9" t="n">
        <x:f>'RAW_센터채널성과'!K9</x:f>
        <x:v>0</x:v>
      </x:c>
      <x:c r="L9" s="4" t="n">
        <x:f>IFERROR(F9/E9,0)</x:f>
        <x:v>0.6349206349206349</x:v>
      </x:c>
      <x:c r="M9" s="4" t="n">
        <x:f>IFERROR(G9/F9,0)</x:f>
        <x:v>0.425</x:v>
      </x:c>
      <x:c r="N9" s="4" t="n">
        <x:f>IFERROR(I9/G9,0)</x:f>
        <x:v>0.11764705882352941</x:v>
      </x:c>
      <x:c r="O9" s="5" t="n">
        <x:f>IFERROR(H9/J9,0)</x:f>
        <x:v>86.36363636363636</x:v>
      </x:c>
    </x:row>
    <x:row r="10">
      <x:c r="A10" t="str">
        <x:f>'RAW_센터채널성과'!A10</x:f>
        <x:v>2026-02</x:v>
      </x:c>
      <x:c r="B10" t="str">
        <x:f>'RAW_센터채널성과'!B10</x:f>
        <x:v>분당센터</x:v>
      </x:c>
      <x:c r="C10" t="str">
        <x:f>'RAW_센터채널성과'!C10</x:f>
        <x:v>고등 입시</x:v>
      </x:c>
      <x:c r="D10" t="str">
        <x:f>'RAW_센터채널성과'!D10</x:f>
        <x:v>카카오채널</x:v>
      </x:c>
      <x:c r="E10" t="n">
        <x:f>'RAW_센터채널성과'!E10</x:f>
        <x:v>66</x:v>
      </x:c>
      <x:c r="F10" t="n">
        <x:f>'RAW_센터채널성과'!F10</x:f>
        <x:v>29</x:v>
      </x:c>
      <x:c r="G10" t="n">
        <x:f>'RAW_센터채널성과'!G10</x:f>
        <x:v>6</x:v>
      </x:c>
      <x:c r="H10" s="3" t="n">
        <x:f>'RAW_센터채널성과'!H10</x:f>
        <x:v>3510000</x:v>
      </x:c>
      <x:c r="I10" s="3" t="n">
        <x:f>'RAW_센터채널성과'!I10</x:f>
        <x:v>0</x:v>
      </x:c>
      <x:c r="J10" s="3" t="n">
        <x:f>'RAW_센터채널성과'!J10</x:f>
        <x:v>230000</x:v>
      </x:c>
      <x:c r="K10" t="n">
        <x:f>'RAW_센터채널성과'!K10</x:f>
        <x:v>0</x:v>
      </x:c>
      <x:c r="L10" s="4" t="n">
        <x:f>IFERROR(F10/E10,0)</x:f>
        <x:v>0.4393939393939394</x:v>
      </x:c>
      <x:c r="M10" s="4" t="n">
        <x:f>IFERROR(G10/F10,0)</x:f>
        <x:v>0.20689655172413793</x:v>
      </x:c>
      <x:c r="N10" s="4" t="n">
        <x:f>IFERROR(I10/G10,0)</x:f>
        <x:v>0</x:v>
      </x:c>
      <x:c r="O10" s="5" t="n">
        <x:f>IFERROR(H10/J10,0)</x:f>
        <x:v>15.26086956521739</x:v>
      </x:c>
    </x:row>
    <x:row r="11">
      <x:c r="A11" t="str">
        <x:f>'RAW_센터채널성과'!A11</x:f>
        <x:v>2026-02</x:v>
      </x:c>
      <x:c r="B11" t="str">
        <x:f>'RAW_센터채널성과'!B11</x:f>
        <x:v>분당센터</x:v>
      </x:c>
      <x:c r="C11" t="str">
        <x:f>'RAW_센터채널성과'!C11</x:f>
        <x:v>초등 자기주도</x:v>
      </x:c>
      <x:c r="D11" t="str">
        <x:f>'RAW_센터채널성과'!D11</x:f>
        <x:v>네이버광고</x:v>
      </x:c>
      <x:c r="E11" t="n">
        <x:f>'RAW_센터채널성과'!E11</x:f>
        <x:v>33</x:v>
      </x:c>
      <x:c r="F11" t="n">
        <x:f>'RAW_센터채널성과'!F11</x:f>
        <x:v>16</x:v>
      </x:c>
      <x:c r="G11" t="n">
        <x:f>'RAW_센터채널성과'!G11</x:f>
        <x:v>6</x:v>
      </x:c>
      <x:c r="H11" s="3" t="n">
        <x:f>'RAW_센터채널성과'!H11</x:f>
        <x:v>5700000</x:v>
      </x:c>
      <x:c r="I11" s="3" t="n">
        <x:f>'RAW_센터채널성과'!I11</x:f>
        <x:v>0</x:v>
      </x:c>
      <x:c r="J11" s="3" t="n">
        <x:f>'RAW_센터채널성과'!J11</x:f>
        <x:v>450000</x:v>
      </x:c>
      <x:c r="K11" t="n">
        <x:f>'RAW_센터채널성과'!K11</x:f>
        <x:v>0</x:v>
      </x:c>
      <x:c r="L11" s="4" t="n">
        <x:f>IFERROR(F11/E11,0)</x:f>
        <x:v>0.48484848484848486</x:v>
      </x:c>
      <x:c r="M11" s="4" t="n">
        <x:f>IFERROR(G11/F11,0)</x:f>
        <x:v>0.375</x:v>
      </x:c>
      <x:c r="N11" s="4" t="n">
        <x:f>IFERROR(I11/G11,0)</x:f>
        <x:v>0</x:v>
      </x:c>
      <x:c r="O11" s="5" t="n">
        <x:f>IFERROR(H11/J11,0)</x:f>
        <x:v>12.666666666666666</x:v>
      </x:c>
    </x:row>
    <x:row r="12">
      <x:c r="A12" t="str">
        <x:f>'RAW_센터채널성과'!A12</x:f>
        <x:v>2026-02</x:v>
      </x:c>
      <x:c r="B12" t="str">
        <x:f>'RAW_센터채널성과'!B12</x:f>
        <x:v>분당센터</x:v>
      </x:c>
      <x:c r="C12" t="str">
        <x:f>'RAW_센터채널성과'!C12</x:f>
        <x:v>학부모 코칭</x:v>
      </x:c>
      <x:c r="D12" t="str">
        <x:f>'RAW_센터채널성과'!D12</x:f>
        <x:v>지인추천</x:v>
      </x:c>
      <x:c r="E12" t="n">
        <x:f>'RAW_센터채널성과'!E12</x:f>
        <x:v>102</x:v>
      </x:c>
      <x:c r="F12" t="n">
        <x:f>'RAW_센터채널성과'!F12</x:f>
        <x:v>61</x:v>
      </x:c>
      <x:c r="G12" t="n">
        <x:f>'RAW_센터채널성과'!G12</x:f>
        <x:v>32</x:v>
      </x:c>
      <x:c r="H12" s="3" t="n">
        <x:f>'RAW_센터채널성과'!H12</x:f>
        <x:v>29920000</x:v>
      </x:c>
      <x:c r="I12" s="3" t="n">
        <x:f>'RAW_센터채널성과'!I12</x:f>
        <x:v>0</x:v>
      </x:c>
      <x:c r="J12" s="3" t="n">
        <x:f>'RAW_센터채널성과'!J12</x:f>
        <x:v>170000</x:v>
      </x:c>
      <x:c r="K12" t="n">
        <x:f>'RAW_센터채널성과'!K12</x:f>
        <x:v>0</x:v>
      </x:c>
      <x:c r="L12" s="4" t="n">
        <x:f>IFERROR(F12/E12,0)</x:f>
        <x:v>0.5980392156862745</x:v>
      </x:c>
      <x:c r="M12" s="4" t="n">
        <x:f>IFERROR(G12/F12,0)</x:f>
        <x:v>0.5245901639344263</x:v>
      </x:c>
      <x:c r="N12" s="4" t="n">
        <x:f>IFERROR(I12/G12,0)</x:f>
        <x:v>0</x:v>
      </x:c>
      <x:c r="O12" s="5" t="n">
        <x:f>IFERROR(H12/J12,0)</x:f>
        <x:v>176</x:v>
      </x:c>
    </x:row>
    <x:row r="13">
      <x:c r="A13" t="str">
        <x:f>'RAW_센터채널성과'!A13</x:f>
        <x:v>2026-02</x:v>
      </x:c>
      <x:c r="B13" t="str">
        <x:f>'RAW_센터채널성과'!B13</x:f>
        <x:v>분당센터</x:v>
      </x:c>
      <x:c r="C13" t="str">
        <x:f>'RAW_센터채널성과'!C13</x:f>
        <x:v>중등 내신</x:v>
      </x:c>
      <x:c r="D13" t="str">
        <x:f>'RAW_센터채널성과'!D13</x:f>
        <x:v>설명회</x:v>
      </x:c>
      <x:c r="E13" t="n">
        <x:f>'RAW_센터채널성과'!E13</x:f>
        <x:v>73</x:v>
      </x:c>
      <x:c r="F13" t="n">
        <x:f>'RAW_센터채널성과'!F13</x:f>
        <x:v>48</x:v>
      </x:c>
      <x:c r="G13" t="n">
        <x:f>'RAW_센터채널성과'!G13</x:f>
        <x:v>10</x:v>
      </x:c>
      <x:c r="H13" s="3" t="n">
        <x:f>'RAW_센터채널성과'!H13</x:f>
        <x:v>5740000</x:v>
      </x:c>
      <x:c r="I13" s="3" t="n">
        <x:f>'RAW_센터채널성과'!I13</x:f>
        <x:v>2</x:v>
      </x:c>
      <x:c r="J13" s="3" t="n">
        <x:f>'RAW_센터채널성과'!J13</x:f>
        <x:v>140000</x:v>
      </x:c>
      <x:c r="K13" t="n">
        <x:f>'RAW_센터채널성과'!K13</x:f>
        <x:v>0</x:v>
      </x:c>
      <x:c r="L13" s="4" t="n">
        <x:f>IFERROR(F13/E13,0)</x:f>
        <x:v>0.6575342465753424</x:v>
      </x:c>
      <x:c r="M13" s="4" t="n">
        <x:f>IFERROR(G13/F13,0)</x:f>
        <x:v>0.20833333333333334</x:v>
      </x:c>
      <x:c r="N13" s="4" t="n">
        <x:f>IFERROR(I13/G13,0)</x:f>
        <x:v>0.2</x:v>
      </x:c>
      <x:c r="O13" s="5" t="n">
        <x:f>IFERROR(H13/J13,0)</x:f>
        <x:v>41</x:v>
      </x:c>
    </x:row>
    <x:row r="14">
      <x:c r="A14" t="str">
        <x:f>'RAW_센터채널성과'!A14</x:f>
        <x:v>2026-02</x:v>
      </x:c>
      <x:c r="B14" t="str">
        <x:f>'RAW_센터채널성과'!B14</x:f>
        <x:v>송파센터</x:v>
      </x:c>
      <x:c r="C14" t="str">
        <x:f>'RAW_센터채널성과'!C14</x:f>
        <x:v>초등 자기주도</x:v>
      </x:c>
      <x:c r="D14" t="str">
        <x:f>'RAW_센터채널성과'!D14</x:f>
        <x:v>홈페이지</x:v>
      </x:c>
      <x:c r="E14" t="n">
        <x:f>'RAW_센터채널성과'!E14</x:f>
        <x:v>94</x:v>
      </x:c>
      <x:c r="F14" t="n">
        <x:f>'RAW_센터채널성과'!F14</x:f>
        <x:v>59</x:v>
      </x:c>
      <x:c r="G14" t="n">
        <x:f>'RAW_센터채널성과'!G14</x:f>
        <x:v>24</x:v>
      </x:c>
      <x:c r="H14" s="3" t="n">
        <x:f>'RAW_센터채널성과'!H14</x:f>
        <x:v>18700000</x:v>
      </x:c>
      <x:c r="I14" s="3" t="n">
        <x:f>'RAW_센터채널성과'!I14</x:f>
        <x:v>0</x:v>
      </x:c>
      <x:c r="J14" s="3" t="n">
        <x:f>'RAW_센터채널성과'!J14</x:f>
        <x:v>160000</x:v>
      </x:c>
      <x:c r="K14" t="n">
        <x:f>'RAW_센터채널성과'!K14</x:f>
        <x:v>0</x:v>
      </x:c>
      <x:c r="L14" s="4" t="n">
        <x:f>IFERROR(F14/E14,0)</x:f>
        <x:v>0.6276595744680851</x:v>
      </x:c>
      <x:c r="M14" s="4" t="n">
        <x:f>IFERROR(G14/F14,0)</x:f>
        <x:v>0.4067796610169492</x:v>
      </x:c>
      <x:c r="N14" s="4" t="n">
        <x:f>IFERROR(I14/G14,0)</x:f>
        <x:v>0</x:v>
      </x:c>
      <x:c r="O14" s="5" t="n">
        <x:f>IFERROR(H14/J14,0)</x:f>
        <x:v>116.875</x:v>
      </x:c>
    </x:row>
    <x:row r="15">
      <x:c r="A15" t="str">
        <x:f>'RAW_센터채널성과'!A15</x:f>
        <x:v>2026-02</x:v>
      </x:c>
      <x:c r="B15" t="str">
        <x:f>'RAW_센터채널성과'!B15</x:f>
        <x:v>송파센터</x:v>
      </x:c>
      <x:c r="C15" t="str">
        <x:f>'RAW_센터채널성과'!C15</x:f>
        <x:v>학부모 코칭</x:v>
      </x:c>
      <x:c r="D15" t="str">
        <x:f>'RAW_센터채널성과'!D15</x:f>
        <x:v>블로그</x:v>
      </x:c>
      <x:c r="E15" t="n">
        <x:f>'RAW_센터채널성과'!E15</x:f>
        <x:v>69</x:v>
      </x:c>
      <x:c r="F15" t="n">
        <x:f>'RAW_센터채널성과'!F15</x:f>
        <x:v>37</x:v>
      </x:c>
      <x:c r="G15" t="n">
        <x:f>'RAW_센터채널성과'!G15</x:f>
        <x:v>7</x:v>
      </x:c>
      <x:c r="H15" s="3" t="n">
        <x:f>'RAW_센터채널성과'!H15</x:f>
        <x:v>4020000</x:v>
      </x:c>
      <x:c r="I15" s="3" t="n">
        <x:f>'RAW_센터채널성과'!I15</x:f>
        <x:v>0</x:v>
      </x:c>
      <x:c r="J15" s="3" t="n">
        <x:f>'RAW_센터채널성과'!J15</x:f>
        <x:v>150000</x:v>
      </x:c>
      <x:c r="K15" t="n">
        <x:f>'RAW_센터채널성과'!K15</x:f>
        <x:v>0</x:v>
      </x:c>
      <x:c r="L15" s="4" t="n">
        <x:f>IFERROR(F15/E15,0)</x:f>
        <x:v>0.5362318840579711</x:v>
      </x:c>
      <x:c r="M15" s="4" t="n">
        <x:f>IFERROR(G15/F15,0)</x:f>
        <x:v>0.1891891891891892</x:v>
      </x:c>
      <x:c r="N15" s="4" t="n">
        <x:f>IFERROR(I15/G15,0)</x:f>
        <x:v>0</x:v>
      </x:c>
      <x:c r="O15" s="5" t="n">
        <x:f>IFERROR(H15/J15,0)</x:f>
        <x:v>26.8</x:v>
      </x:c>
    </x:row>
    <x:row r="16">
      <x:c r="A16" t="str">
        <x:f>'RAW_센터채널성과'!A16</x:f>
        <x:v>2026-02</x:v>
      </x:c>
      <x:c r="B16" t="str">
        <x:f>'RAW_센터채널성과'!B16</x:f>
        <x:v>송파센터</x:v>
      </x:c>
      <x:c r="C16" t="str">
        <x:f>'RAW_센터채널성과'!C16</x:f>
        <x:v>중등 내신</x:v>
      </x:c>
      <x:c r="D16" t="str">
        <x:f>'RAW_센터채널성과'!D16</x:f>
        <x:v>카카오채널</x:v>
      </x:c>
      <x:c r="E16" t="n">
        <x:f>'RAW_센터채널성과'!E16</x:f>
        <x:v>25</x:v>
      </x:c>
      <x:c r="F16" t="n">
        <x:f>'RAW_센터채널성과'!F16</x:f>
        <x:v>13</x:v>
      </x:c>
      <x:c r="G16" t="n">
        <x:f>'RAW_센터채널성과'!G16</x:f>
        <x:v>7</x:v>
      </x:c>
      <x:c r="H16" s="3" t="n">
        <x:f>'RAW_센터채널성과'!H16</x:f>
        <x:v>3770000</x:v>
      </x:c>
      <x:c r="I16" s="3" t="n">
        <x:f>'RAW_센터채널성과'!I16</x:f>
        <x:v>0</x:v>
      </x:c>
      <x:c r="J16" s="3" t="n">
        <x:f>'RAW_센터채널성과'!J16</x:f>
        <x:v>40000</x:v>
      </x:c>
      <x:c r="K16" t="str">
        <x:f>'RAW_센터채널성과'!K16</x:f>
        <x:v>센터명 표기 확인 필요</x:v>
      </x:c>
      <x:c r="L16" s="4" t="n">
        <x:f>IFERROR(F16/E16,0)</x:f>
        <x:v>0.52</x:v>
      </x:c>
      <x:c r="M16" s="4" t="n">
        <x:f>IFERROR(G16/F16,0)</x:f>
        <x:v>0.5384615384615384</x:v>
      </x:c>
      <x:c r="N16" s="4" t="n">
        <x:f>IFERROR(I16/G16,0)</x:f>
        <x:v>0</x:v>
      </x:c>
      <x:c r="O16" s="5" t="n">
        <x:f>IFERROR(H16/J16,0)</x:f>
        <x:v>94.25</x:v>
      </x:c>
    </x:row>
    <x:row r="17">
      <x:c r="A17" t="str">
        <x:f>'RAW_센터채널성과'!A17</x:f>
        <x:v>2026-02</x:v>
      </x:c>
      <x:c r="B17" t="str">
        <x:f>'RAW_센터채널성과'!B17</x:f>
        <x:v>송파센터</x:v>
      </x:c>
      <x:c r="C17" t="str">
        <x:f>'RAW_센터채널성과'!C17</x:f>
        <x:v>AI 학습관리</x:v>
      </x:c>
      <x:c r="D17" t="str">
        <x:f>'RAW_센터채널성과'!D17</x:f>
        <x:v>네이버광고</x:v>
      </x:c>
      <x:c r="E17" t="n">
        <x:f>'RAW_센터채널성과'!E17</x:f>
        <x:v>34</x:v>
      </x:c>
      <x:c r="F17" t="n">
        <x:f>'RAW_센터채널성과'!F17</x:f>
        <x:v>19</x:v>
      </x:c>
      <x:c r="G17" t="n">
        <x:f>'RAW_센터채널성과'!G17</x:f>
        <x:v>9</x:v>
      </x:c>
      <x:c r="H17" s="3" t="n">
        <x:f>'RAW_센터채널성과'!H17</x:f>
        <x:v>5730000</x:v>
      </x:c>
      <x:c r="I17" s="3" t="n">
        <x:f>'RAW_센터채널성과'!I17</x:f>
        <x:v>0</x:v>
      </x:c>
      <x:c r="J17" s="3" t="n">
        <x:f>'RAW_센터채널성과'!J17</x:f>
        <x:v>410000</x:v>
      </x:c>
      <x:c r="K17" t="str">
        <x:f>'RAW_센터채널성과'!K17</x:f>
        <x:v>센터명 표기 확인 필요</x:v>
      </x:c>
      <x:c r="L17" s="4" t="n">
        <x:f>IFERROR(F17/E17,0)</x:f>
        <x:v>0.5588235294117647</x:v>
      </x:c>
      <x:c r="M17" s="4" t="n">
        <x:f>IFERROR(G17/F17,0)</x:f>
        <x:v>0.47368421052631576</x:v>
      </x:c>
      <x:c r="N17" s="4" t="n">
        <x:f>IFERROR(I17/G17,0)</x:f>
        <x:v>0</x:v>
      </x:c>
      <x:c r="O17" s="5" t="n">
        <x:f>IFERROR(H17/J17,0)</x:f>
        <x:v>13.975609756097562</x:v>
      </x:c>
    </x:row>
    <x:row r="18">
      <x:c r="A18" t="str">
        <x:f>'RAW_센터채널성과'!A18</x:f>
        <x:v>2026-02</x:v>
      </x:c>
      <x:c r="B18" t="str">
        <x:f>'RAW_센터채널성과'!B18</x:f>
        <x:v>송파센터</x:v>
      </x:c>
      <x:c r="C18" t="str">
        <x:f>'RAW_센터채널성과'!C18</x:f>
        <x:v>고등 입시</x:v>
      </x:c>
      <x:c r="D18" t="str">
        <x:f>'RAW_센터채널성과'!D18</x:f>
        <x:v>지인추천</x:v>
      </x:c>
      <x:c r="E18" t="n">
        <x:f>'RAW_센터채널성과'!E18</x:f>
        <x:v>101</x:v>
      </x:c>
      <x:c r="F18" t="n">
        <x:f>'RAW_센터채널성과'!F18</x:f>
        <x:v>65</x:v>
      </x:c>
      <x:c r="G18" t="n">
        <x:f>'RAW_센터채널성과'!G18</x:f>
        <x:v>27</x:v>
      </x:c>
      <x:c r="H18" s="3" t="n">
        <x:f>'RAW_센터채널성과'!H18</x:f>
        <x:v>16440000</x:v>
      </x:c>
      <x:c r="I18" s="3" t="n">
        <x:f>'RAW_센터채널성과'!I18</x:f>
        <x:v>0</x:v>
      </x:c>
      <x:c r="J18" s="3" t="n">
        <x:f>'RAW_센터채널성과'!J18</x:f>
        <x:v>300000</x:v>
      </x:c>
      <x:c r="K18" t="n">
        <x:f>'RAW_센터채널성과'!K18</x:f>
        <x:v>0</x:v>
      </x:c>
      <x:c r="L18" s="4" t="n">
        <x:f>IFERROR(F18/E18,0)</x:f>
        <x:v>0.6435643564356436</x:v>
      </x:c>
      <x:c r="M18" s="4" t="n">
        <x:f>IFERROR(G18/F18,0)</x:f>
        <x:v>0.4153846153846154</x:v>
      </x:c>
      <x:c r="N18" s="4" t="n">
        <x:f>IFERROR(I18/G18,0)</x:f>
        <x:v>0</x:v>
      </x:c>
      <x:c r="O18" s="5" t="n">
        <x:f>IFERROR(H18/J18,0)</x:f>
        <x:v>54.8</x:v>
      </x:c>
    </x:row>
    <x:row r="19">
      <x:c r="A19" t="str">
        <x:f>'RAW_센터채널성과'!A19</x:f>
        <x:v>2026-02</x:v>
      </x:c>
      <x:c r="B19" t="str">
        <x:f>'RAW_센터채널성과'!B19</x:f>
        <x:v>송파센터</x:v>
      </x:c>
      <x:c r="C19" t="str">
        <x:f>'RAW_센터채널성과'!C19</x:f>
        <x:v>초등 자기주도</x:v>
      </x:c>
      <x:c r="D19" t="str">
        <x:f>'RAW_센터채널성과'!D19</x:f>
        <x:v>설명회</x:v>
      </x:c>
      <x:c r="E19" t="n">
        <x:f>'RAW_센터채널성과'!E19</x:f>
        <x:v>62</x:v>
      </x:c>
      <x:c r="F19" t="n">
        <x:f>'RAW_센터채널성과'!F19</x:f>
        <x:v>39</x:v>
      </x:c>
      <x:c r="G19" t="n">
        <x:f>'RAW_센터채널성과'!G19</x:f>
        <x:v>12</x:v>
      </x:c>
      <x:c r="H19" s="3" t="n">
        <x:f>'RAW_센터채널성과'!H19</x:f>
        <x:v>10210000</x:v>
      </x:c>
      <x:c r="I19" s="3" t="n">
        <x:f>'RAW_센터채널성과'!I19</x:f>
        <x:v>0</x:v>
      </x:c>
      <x:c r="J19" s="3" t="n">
        <x:f>'RAW_센터채널성과'!J19</x:f>
        <x:v>160000</x:v>
      </x:c>
      <x:c r="K19" t="n">
        <x:f>'RAW_센터채널성과'!K19</x:f>
        <x:v>0</x:v>
      </x:c>
      <x:c r="L19" s="4" t="n">
        <x:f>IFERROR(F19/E19,0)</x:f>
        <x:v>0.6290322580645161</x:v>
      </x:c>
      <x:c r="M19" s="4" t="n">
        <x:f>IFERROR(G19/F19,0)</x:f>
        <x:v>0.3076923076923077</x:v>
      </x:c>
      <x:c r="N19" s="4" t="n">
        <x:f>IFERROR(I19/G19,0)</x:f>
        <x:v>0</x:v>
      </x:c>
      <x:c r="O19" s="5" t="n">
        <x:f>IFERROR(H19/J19,0)</x:f>
        <x:v>63.8125</x:v>
      </x:c>
    </x:row>
    <x:row r="20">
      <x:c r="A20" t="str">
        <x:f>'RAW_센터채널성과'!A20</x:f>
        <x:v>2026-02</x:v>
      </x:c>
      <x:c r="B20" t="str">
        <x:f>'RAW_센터채널성과'!B20</x:f>
        <x:v>목동센터</x:v>
      </x:c>
      <x:c r="C20" t="str">
        <x:f>'RAW_센터채널성과'!C20</x:f>
        <x:v>학부모 코칭</x:v>
      </x:c>
      <x:c r="D20" t="str">
        <x:f>'RAW_센터채널성과'!D20</x:f>
        <x:v>홈페이지</x:v>
      </x:c>
      <x:c r="E20" t="n">
        <x:f>'RAW_센터채널성과'!E20</x:f>
        <x:v>60</x:v>
      </x:c>
      <x:c r="F20" t="n">
        <x:f>'RAW_센터채널성과'!F20</x:f>
        <x:v>36</x:v>
      </x:c>
      <x:c r="G20" t="n">
        <x:f>'RAW_센터채널성과'!G20</x:f>
        <x:v>12</x:v>
      </x:c>
      <x:c r="H20" s="3" t="n">
        <x:f>'RAW_센터채널성과'!H20</x:f>
        <x:v>9920000</x:v>
      </x:c>
      <x:c r="I20" s="3" t="n">
        <x:f>'RAW_센터채널성과'!I20</x:f>
        <x:v>0</x:v>
      </x:c>
      <x:c r="J20" s="3" t="n">
        <x:f>'RAW_센터채널성과'!J20</x:f>
        <x:v>110000</x:v>
      </x:c>
      <x:c r="K20" t="n">
        <x:f>'RAW_센터채널성과'!K20</x:f>
        <x:v>0</x:v>
      </x:c>
      <x:c r="L20" s="4" t="n">
        <x:f>IFERROR(F20/E20,0)</x:f>
        <x:v>0.6</x:v>
      </x:c>
      <x:c r="M20" s="4" t="n">
        <x:f>IFERROR(G20/F20,0)</x:f>
        <x:v>0.3333333333333333</x:v>
      </x:c>
      <x:c r="N20" s="4" t="n">
        <x:f>IFERROR(I20/G20,0)</x:f>
        <x:v>0</x:v>
      </x:c>
      <x:c r="O20" s="5" t="n">
        <x:f>IFERROR(H20/J20,0)</x:f>
        <x:v>90.18181818181819</x:v>
      </x:c>
    </x:row>
    <x:row r="21">
      <x:c r="A21" t="str">
        <x:f>'RAW_센터채널성과'!A21</x:f>
        <x:v>2026-02</x:v>
      </x:c>
      <x:c r="B21" t="str">
        <x:f>'RAW_센터채널성과'!B21</x:f>
        <x:v>목동센터</x:v>
      </x:c>
      <x:c r="C21" t="str">
        <x:f>'RAW_센터채널성과'!C21</x:f>
        <x:v>중등 내신</x:v>
      </x:c>
      <x:c r="D21" t="str">
        <x:f>'RAW_센터채널성과'!D21</x:f>
        <x:v>블로그</x:v>
      </x:c>
      <x:c r="E21" t="n">
        <x:f>'RAW_센터채널성과'!E21</x:f>
        <x:v>40</x:v>
      </x:c>
      <x:c r="F21" t="n">
        <x:f>'RAW_센터채널성과'!F21</x:f>
        <x:v>15</x:v>
      </x:c>
      <x:c r="G21" t="n">
        <x:f>'RAW_센터채널성과'!G21</x:f>
        <x:v>7</x:v>
      </x:c>
      <x:c r="H21" s="3" t="n">
        <x:f>'RAW_센터채널성과'!H21</x:f>
        <x:v>6560000</x:v>
      </x:c>
      <x:c r="I21" s="3" t="n">
        <x:f>'RAW_센터채널성과'!I21</x:f>
        <x:v>0</x:v>
      </x:c>
      <x:c r="J21" s="3" t="n">
        <x:f>'RAW_센터채널성과'!J21</x:f>
        <x:v>100000</x:v>
      </x:c>
      <x:c r="K21" t="n">
        <x:f>'RAW_센터채널성과'!K21</x:f>
        <x:v>0</x:v>
      </x:c>
      <x:c r="L21" s="4" t="n">
        <x:f>IFERROR(F21/E21,0)</x:f>
        <x:v>0.375</x:v>
      </x:c>
      <x:c r="M21" s="4" t="n">
        <x:f>IFERROR(G21/F21,0)</x:f>
        <x:v>0.4666666666666667</x:v>
      </x:c>
      <x:c r="N21" s="4" t="n">
        <x:f>IFERROR(I21/G21,0)</x:f>
        <x:v>0</x:v>
      </x:c>
      <x:c r="O21" s="5" t="n">
        <x:f>IFERROR(H21/J21,0)</x:f>
        <x:v>65.6</x:v>
      </x:c>
    </x:row>
    <x:row r="22">
      <x:c r="A22" t="str">
        <x:f>'RAW_센터채널성과'!A22</x:f>
        <x:v>2026-02</x:v>
      </x:c>
      <x:c r="B22" t="str">
        <x:f>'RAW_센터채널성과'!B22</x:f>
        <x:v>목동센터</x:v>
      </x:c>
      <x:c r="C22" t="str">
        <x:f>'RAW_센터채널성과'!C22</x:f>
        <x:v>AI 학습관리</x:v>
      </x:c>
      <x:c r="D22" t="str">
        <x:f>'RAW_센터채널성과'!D22</x:f>
        <x:v>카카오채널</x:v>
      </x:c>
      <x:c r="E22" t="n">
        <x:f>'RAW_센터채널성과'!E22</x:f>
        <x:v>39</x:v>
      </x:c>
      <x:c r="F22" t="n">
        <x:f>'RAW_센터채널성과'!F22</x:f>
        <x:v>18</x:v>
      </x:c>
      <x:c r="G22" t="n">
        <x:f>'RAW_센터채널성과'!G22</x:f>
        <x:v>9</x:v>
      </x:c>
      <x:c r="H22" s="3" t="n">
        <x:f>'RAW_센터채널성과'!H22</x:f>
        <x:v>6640000</x:v>
      </x:c>
      <x:c r="I22" s="3" t="n">
        <x:f>'RAW_센터채널성과'!I22</x:f>
        <x:v>1</x:v>
      </x:c>
      <x:c r="J22" s="3" t="n">
        <x:f>'RAW_센터채널성과'!J22</x:f>
        <x:v>150000</x:v>
      </x:c>
      <x:c r="K22" t="n">
        <x:f>'RAW_센터채널성과'!K22</x:f>
        <x:v>0</x:v>
      </x:c>
      <x:c r="L22" s="4" t="n">
        <x:f>IFERROR(F22/E22,0)</x:f>
        <x:v>0.46153846153846156</x:v>
      </x:c>
      <x:c r="M22" s="4" t="n">
        <x:f>IFERROR(G22/F22,0)</x:f>
        <x:v>0.5</x:v>
      </x:c>
      <x:c r="N22" s="4" t="n">
        <x:f>IFERROR(I22/G22,0)</x:f>
        <x:v>0.1111111111111111</x:v>
      </x:c>
      <x:c r="O22" s="5" t="n">
        <x:f>IFERROR(H22/J22,0)</x:f>
        <x:v>44.266666666666666</x:v>
      </x:c>
    </x:row>
    <x:row r="23">
      <x:c r="A23" t="str">
        <x:f>'RAW_센터채널성과'!A23</x:f>
        <x:v>2026-02</x:v>
      </x:c>
      <x:c r="B23" t="str">
        <x:f>'RAW_센터채널성과'!B23</x:f>
        <x:v>목동센터</x:v>
      </x:c>
      <x:c r="C23" t="str">
        <x:f>'RAW_센터채널성과'!C23</x:f>
        <x:v>학부모 코칭</x:v>
      </x:c>
      <x:c r="D23" t="str">
        <x:f>'RAW_센터채널성과'!D23</x:f>
        <x:v>네이버광고</x:v>
      </x:c>
      <x:c r="E23" t="n">
        <x:f>'RAW_센터채널성과'!E23</x:f>
        <x:v>63</x:v>
      </x:c>
      <x:c r="F23" t="n">
        <x:f>'RAW_센터채널성과'!F23</x:f>
        <x:v>29</x:v>
      </x:c>
      <x:c r="G23" t="n">
        <x:f>'RAW_센터채널성과'!G23</x:f>
        <x:v>5</x:v>
      </x:c>
      <x:c r="H23" s="3" t="n">
        <x:f>'RAW_센터채널성과'!H23</x:f>
        <x:v>3690000</x:v>
      </x:c>
      <x:c r="I23" s="3" t="n">
        <x:f>'RAW_센터채널성과'!I23</x:f>
        <x:v>2</x:v>
      </x:c>
      <x:c r="J23" s="3" t="n">
        <x:f>'RAW_센터채널성과'!J23</x:f>
        <x:v>1190000</x:v>
      </x:c>
      <x:c r="K23" t="n">
        <x:f>'RAW_센터채널성과'!K23</x:f>
        <x:v>0</x:v>
      </x:c>
      <x:c r="L23" s="4" t="n">
        <x:f>IFERROR(F23/E23,0)</x:f>
        <x:v>0.4603174603174603</x:v>
      </x:c>
      <x:c r="M23" s="4" t="n">
        <x:f>IFERROR(G23/F23,0)</x:f>
        <x:v>0.1724137931034483</x:v>
      </x:c>
      <x:c r="N23" s="4" t="n">
        <x:f>IFERROR(I23/G23,0)</x:f>
        <x:v>0.4</x:v>
      </x:c>
      <x:c r="O23" s="5" t="n">
        <x:f>IFERROR(H23/J23,0)</x:f>
        <x:v>3.100840336134454</x:v>
      </x:c>
    </x:row>
    <x:row r="24">
      <x:c r="A24" t="str">
        <x:f>'RAW_센터채널성과'!A24</x:f>
        <x:v>2026-02</x:v>
      </x:c>
      <x:c r="B24" t="str">
        <x:f>'RAW_센터채널성과'!B24</x:f>
        <x:v>목동센터</x:v>
      </x:c>
      <x:c r="C24" t="str">
        <x:f>'RAW_센터채널성과'!C24</x:f>
        <x:v>고등 입시</x:v>
      </x:c>
      <x:c r="D24" t="str">
        <x:f>'RAW_센터채널성과'!D24</x:f>
        <x:v>지인추천</x:v>
      </x:c>
      <x:c r="E24" t="n">
        <x:f>'RAW_센터채널성과'!E24</x:f>
        <x:v>76</x:v>
      </x:c>
      <x:c r="F24" t="n">
        <x:f>'RAW_센터채널성과'!F24</x:f>
        <x:v>42</x:v>
      </x:c>
      <x:c r="G24" t="n">
        <x:f>'RAW_센터채널성과'!G24</x:f>
        <x:v>21</x:v>
      </x:c>
      <x:c r="H24" s="3" t="n">
        <x:f>'RAW_센터채널성과'!H24</x:f>
        <x:v>18310000</x:v>
      </x:c>
      <x:c r="I24" s="3" t="n">
        <x:f>'RAW_센터채널성과'!I24</x:f>
        <x:v>0</x:v>
      </x:c>
      <x:c r="J24" s="3" t="n">
        <x:f>'RAW_센터채널성과'!J24</x:f>
        <x:v>180000</x:v>
      </x:c>
      <x:c r="K24" t="n">
        <x:f>'RAW_센터채널성과'!K24</x:f>
        <x:v>0</x:v>
      </x:c>
      <x:c r="L24" s="4" t="n">
        <x:f>IFERROR(F24/E24,0)</x:f>
        <x:v>0.5526315789473685</x:v>
      </x:c>
      <x:c r="M24" s="4" t="n">
        <x:f>IFERROR(G24/F24,0)</x:f>
        <x:v>0.5</x:v>
      </x:c>
      <x:c r="N24" s="4" t="n">
        <x:f>IFERROR(I24/G24,0)</x:f>
        <x:v>0</x:v>
      </x:c>
      <x:c r="O24" s="5" t="n">
        <x:f>IFERROR(H24/J24,0)</x:f>
        <x:v>101.72222222222223</x:v>
      </x:c>
    </x:row>
    <x:row r="25">
      <x:c r="A25" t="str">
        <x:f>'RAW_센터채널성과'!A25</x:f>
        <x:v>2026-02</x:v>
      </x:c>
      <x:c r="B25" t="str">
        <x:f>'RAW_센터채널성과'!B25</x:f>
        <x:v>목동센터</x:v>
      </x:c>
      <x:c r="C25" t="str">
        <x:f>'RAW_센터채널성과'!C25</x:f>
        <x:v>초등 자기주도</x:v>
      </x:c>
      <x:c r="D25" t="str">
        <x:f>'RAW_센터채널성과'!D25</x:f>
        <x:v>설명회</x:v>
      </x:c>
      <x:c r="E25" t="n">
        <x:f>'RAW_센터채널성과'!E25</x:f>
        <x:v>39</x:v>
      </x:c>
      <x:c r="F25" t="n">
        <x:f>'RAW_센터채널성과'!F25</x:f>
        <x:v>25</x:v>
      </x:c>
      <x:c r="G25" t="n">
        <x:f>'RAW_센터채널성과'!G25</x:f>
        <x:v>12</x:v>
      </x:c>
      <x:c r="H25" s="3" t="n">
        <x:f>'RAW_센터채널성과'!H25</x:f>
        <x:v>7080000</x:v>
      </x:c>
      <x:c r="I25" s="3" t="n">
        <x:f>'RAW_센터채널성과'!I25</x:f>
        <x:v>0</x:v>
      </x:c>
      <x:c r="J25" s="3" t="n">
        <x:f>'RAW_센터채널성과'!J25</x:f>
        <x:v>80000</x:v>
      </x:c>
      <x:c r="K25" t="n">
        <x:f>'RAW_센터채널성과'!K25</x:f>
        <x:v>0</x:v>
      </x:c>
      <x:c r="L25" s="4" t="n">
        <x:f>IFERROR(F25/E25,0)</x:f>
        <x:v>0.6410256410256411</x:v>
      </x:c>
      <x:c r="M25" s="4" t="n">
        <x:f>IFERROR(G25/F25,0)</x:f>
        <x:v>0.48</x:v>
      </x:c>
      <x:c r="N25" s="4" t="n">
        <x:f>IFERROR(I25/G25,0)</x:f>
        <x:v>0</x:v>
      </x:c>
      <x:c r="O25" s="5" t="n">
        <x:f>IFERROR(H25/J25,0)</x:f>
        <x:v>88.5</x:v>
      </x:c>
    </x:row>
    <x:row r="26">
      <x:c r="A26" t="str">
        <x:f>'RAW_센터채널성과'!A26</x:f>
        <x:v>2026-02</x:v>
      </x:c>
      <x:c r="B26" t="str">
        <x:f>'RAW_센터채널성과'!B26</x:f>
        <x:v>대전센터</x:v>
      </x:c>
      <x:c r="C26" t="str">
        <x:f>'RAW_센터채널성과'!C26</x:f>
        <x:v>학부모 코칭</x:v>
      </x:c>
      <x:c r="D26" t="str">
        <x:f>'RAW_센터채널성과'!D26</x:f>
        <x:v>홈페이지</x:v>
      </x:c>
      <x:c r="E26" t="n">
        <x:f>'RAW_센터채널성과'!E26</x:f>
        <x:v>38</x:v>
      </x:c>
      <x:c r="F26" t="n">
        <x:f>'RAW_센터채널성과'!F26</x:f>
        <x:v>27</x:v>
      </x:c>
      <x:c r="G26" t="n">
        <x:f>'RAW_센터채널성과'!G26</x:f>
        <x:v>6</x:v>
      </x:c>
      <x:c r="H26" s="3" t="n">
        <x:f>'RAW_센터채널성과'!H26</x:f>
        <x:v>4800000</x:v>
      </x:c>
      <x:c r="I26" s="3" t="n">
        <x:f>'RAW_센터채널성과'!I26</x:f>
        <x:v>0</x:v>
      </x:c>
      <x:c r="J26" s="3" t="n">
        <x:f>'RAW_센터채널성과'!J26</x:f>
        <x:v>60000</x:v>
      </x:c>
      <x:c r="K26" t="n">
        <x:f>'RAW_센터채널성과'!K26</x:f>
        <x:v>0</x:v>
      </x:c>
      <x:c r="L26" s="4" t="n">
        <x:f>IFERROR(F26/E26,0)</x:f>
        <x:v>0.7105263157894737</x:v>
      </x:c>
      <x:c r="M26" s="4" t="n">
        <x:f>IFERROR(G26/F26,0)</x:f>
        <x:v>0.2222222222222222</x:v>
      </x:c>
      <x:c r="N26" s="4" t="n">
        <x:f>IFERROR(I26/G26,0)</x:f>
        <x:v>0</x:v>
      </x:c>
      <x:c r="O26" s="5" t="n">
        <x:f>IFERROR(H26/J26,0)</x:f>
        <x:v>80</x:v>
      </x:c>
    </x:row>
    <x:row r="27">
      <x:c r="A27" t="str">
        <x:f>'RAW_센터채널성과'!A27</x:f>
        <x:v>2026-02</x:v>
      </x:c>
      <x:c r="B27" t="str">
        <x:f>'RAW_센터채널성과'!B27</x:f>
        <x:v>대전센터</x:v>
      </x:c>
      <x:c r="C27" t="str">
        <x:f>'RAW_센터채널성과'!C27</x:f>
        <x:v>중등 내신</x:v>
      </x:c>
      <x:c r="D27" t="str">
        <x:f>'RAW_센터채널성과'!D27</x:f>
        <x:v>블로그</x:v>
      </x:c>
      <x:c r="E27" t="n">
        <x:f>'RAW_센터채널성과'!E27</x:f>
        <x:v>48</x:v>
      </x:c>
      <x:c r="F27" t="n">
        <x:f>'RAW_센터채널성과'!F27</x:f>
        <x:v>19</x:v>
      </x:c>
      <x:c r="G27" t="n">
        <x:f>'RAW_센터채널성과'!G27</x:f>
        <x:v>5</x:v>
      </x:c>
      <x:c r="H27" s="3" t="n">
        <x:f>'RAW_센터채널성과'!H27</x:f>
        <x:v>2430000</x:v>
      </x:c>
      <x:c r="I27" s="3" t="n">
        <x:f>'RAW_센터채널성과'!I27</x:f>
        <x:v>0</x:v>
      </x:c>
      <x:c r="J27" s="3" t="n">
        <x:f>'RAW_센터채널성과'!J27</x:f>
        <x:v>70000</x:v>
      </x:c>
      <x:c r="K27" t="n">
        <x:f>'RAW_센터채널성과'!K27</x:f>
        <x:v>0</x:v>
      </x:c>
      <x:c r="L27" s="4" t="n">
        <x:f>IFERROR(F27/E27,0)</x:f>
        <x:v>0.3958333333333333</x:v>
      </x:c>
      <x:c r="M27" s="4" t="n">
        <x:f>IFERROR(G27/F27,0)</x:f>
        <x:v>0.2631578947368421</x:v>
      </x:c>
      <x:c r="N27" s="4" t="n">
        <x:f>IFERROR(I27/G27,0)</x:f>
        <x:v>0</x:v>
      </x:c>
      <x:c r="O27" s="5" t="n">
        <x:f>IFERROR(H27/J27,0)</x:f>
        <x:v>34.714285714285715</x:v>
      </x:c>
    </x:row>
    <x:row r="28">
      <x:c r="A28" t="str">
        <x:f>'RAW_센터채널성과'!A28</x:f>
        <x:v>2026-02</x:v>
      </x:c>
      <x:c r="B28" t="str">
        <x:f>'RAW_센터채널성과'!B28</x:f>
        <x:v>대전센터</x:v>
      </x:c>
      <x:c r="C28" t="str">
        <x:f>'RAW_센터채널성과'!C28</x:f>
        <x:v>AI 학습관리</x:v>
      </x:c>
      <x:c r="D28" t="str">
        <x:f>'RAW_센터채널성과'!D28</x:f>
        <x:v>카카오채널</x:v>
      </x:c>
      <x:c r="E28" t="n">
        <x:f>'RAW_센터채널성과'!E28</x:f>
        <x:v>31</x:v>
      </x:c>
      <x:c r="F28" t="n">
        <x:f>'RAW_센터채널성과'!F28</x:f>
        <x:v>14</x:v>
      </x:c>
      <x:c r="G28" t="n">
        <x:f>'RAW_센터채널성과'!G28</x:f>
        <x:v>3</x:v>
      </x:c>
      <x:c r="H28" s="3" t="n">
        <x:f>'RAW_센터채널성과'!H28</x:f>
        <x:v>2350000</x:v>
      </x:c>
      <x:c r="I28" s="3" t="n">
        <x:f>'RAW_센터채널성과'!I28</x:f>
        <x:v>3</x:v>
      </x:c>
      <x:c r="J28" s="3" t="n">
        <x:f>'RAW_센터채널성과'!J28</x:f>
        <x:v>90000</x:v>
      </x:c>
      <x:c r="K28" t="n">
        <x:f>'RAW_센터채널성과'!K28</x:f>
        <x:v>0</x:v>
      </x:c>
      <x:c r="L28" s="4" t="n">
        <x:f>IFERROR(F28/E28,0)</x:f>
        <x:v>0.45161290322580644</x:v>
      </x:c>
      <x:c r="M28" s="4" t="n">
        <x:f>IFERROR(G28/F28,0)</x:f>
        <x:v>0.21428571428571427</x:v>
      </x:c>
      <x:c r="N28" s="4" t="n">
        <x:f>IFERROR(I28/G28,0)</x:f>
        <x:v>1</x:v>
      </x:c>
      <x:c r="O28" s="5" t="n">
        <x:f>IFERROR(H28/J28,0)</x:f>
        <x:v>26.11111111111111</x:v>
      </x:c>
    </x:row>
    <x:row r="29">
      <x:c r="A29" t="str">
        <x:f>'RAW_센터채널성과'!A29</x:f>
        <x:v>2026-02</x:v>
      </x:c>
      <x:c r="B29" t="str">
        <x:f>'RAW_센터채널성과'!B29</x:f>
        <x:v>대전센터</x:v>
      </x:c>
      <x:c r="C29" t="str">
        <x:f>'RAW_센터채널성과'!C29</x:f>
        <x:v>학부모 코칭</x:v>
      </x:c>
      <x:c r="D29" t="str">
        <x:f>'RAW_센터채널성과'!D29</x:f>
        <x:v>네이버광고</x:v>
      </x:c>
      <x:c r="E29" t="n">
        <x:f>'RAW_센터채널성과'!E29</x:f>
        <x:v>65</x:v>
      </x:c>
      <x:c r="F29" t="n">
        <x:f>'RAW_센터채널성과'!F29</x:f>
        <x:v>36</x:v>
      </x:c>
      <x:c r="G29" t="n">
        <x:f>'RAW_센터채널성과'!G29</x:f>
        <x:v>10</x:v>
      </x:c>
      <x:c r="H29" s="3" t="n">
        <x:f>'RAW_센터채널성과'!H29</x:f>
        <x:v>9970000</x:v>
      </x:c>
      <x:c r="I29" s="3" t="n">
        <x:f>'RAW_센터채널성과'!I29</x:f>
        <x:v>0</x:v>
      </x:c>
      <x:c r="J29" s="3" t="n">
        <x:f>'RAW_센터채널성과'!J29</x:f>
        <x:v>1000000</x:v>
      </x:c>
      <x:c r="K29" t="n">
        <x:f>'RAW_센터채널성과'!K29</x:f>
        <x:v>0</x:v>
      </x:c>
      <x:c r="L29" s="4" t="n">
        <x:f>IFERROR(F29/E29,0)</x:f>
        <x:v>0.5538461538461539</x:v>
      </x:c>
      <x:c r="M29" s="4" t="n">
        <x:f>IFERROR(G29/F29,0)</x:f>
        <x:v>0.2777777777777778</x:v>
      </x:c>
      <x:c r="N29" s="4" t="n">
        <x:f>IFERROR(I29/G29,0)</x:f>
        <x:v>0</x:v>
      </x:c>
      <x:c r="O29" s="5" t="n">
        <x:f>IFERROR(H29/J29,0)</x:f>
        <x:v>9.97</x:v>
      </x:c>
    </x:row>
    <x:row r="30">
      <x:c r="A30" t="str">
        <x:f>'RAW_센터채널성과'!A30</x:f>
        <x:v>2026-02</x:v>
      </x:c>
      <x:c r="B30" t="str">
        <x:f>'RAW_센터채널성과'!B30</x:f>
        <x:v>대전센터</x:v>
      </x:c>
      <x:c r="C30" t="str">
        <x:f>'RAW_센터채널성과'!C30</x:f>
        <x:v>중등 내신</x:v>
      </x:c>
      <x:c r="D30" t="str">
        <x:f>'RAW_센터채널성과'!D30</x:f>
        <x:v>지인추천</x:v>
      </x:c>
      <x:c r="E30" t="n">
        <x:f>'RAW_센터채널성과'!E30</x:f>
        <x:v>84</x:v>
      </x:c>
      <x:c r="F30" t="n">
        <x:f>'RAW_센터채널성과'!F30</x:f>
        <x:v>55</x:v>
      </x:c>
      <x:c r="G30" t="n">
        <x:f>'RAW_센터채널성과'!G30</x:f>
        <x:v>29</x:v>
      </x:c>
      <x:c r="H30" s="3" t="n">
        <x:f>'RAW_센터채널성과'!H30</x:f>
        <x:v>19770000</x:v>
      </x:c>
      <x:c r="I30" s="3" t="n">
        <x:f>'RAW_센터채널성과'!I30</x:f>
        <x:v>0</x:v>
      </x:c>
      <x:c r="J30" s="3" t="n">
        <x:f>'RAW_센터채널성과'!J30</x:f>
        <x:v>220000</x:v>
      </x:c>
      <x:c r="K30" t="n">
        <x:f>'RAW_센터채널성과'!K30</x:f>
        <x:v>0</x:v>
      </x:c>
      <x:c r="L30" s="4" t="n">
        <x:f>IFERROR(F30/E30,0)</x:f>
        <x:v>0.6547619047619048</x:v>
      </x:c>
      <x:c r="M30" s="4" t="n">
        <x:f>IFERROR(G30/F30,0)</x:f>
        <x:v>0.5272727272727272</x:v>
      </x:c>
      <x:c r="N30" s="4" t="n">
        <x:f>IFERROR(I30/G30,0)</x:f>
        <x:v>0</x:v>
      </x:c>
      <x:c r="O30" s="5" t="n">
        <x:f>IFERROR(H30/J30,0)</x:f>
        <x:v>89.86363636363636</x:v>
      </x:c>
    </x:row>
    <x:row r="31">
      <x:c r="A31" t="str">
        <x:f>'RAW_센터채널성과'!A31</x:f>
        <x:v>2026-02</x:v>
      </x:c>
      <x:c r="B31" t="str">
        <x:f>'RAW_센터채널성과'!B31</x:f>
        <x:v>대전센터</x:v>
      </x:c>
      <x:c r="C31" t="str">
        <x:f>'RAW_센터채널성과'!C31</x:f>
        <x:v>AI 학습관리</x:v>
      </x:c>
      <x:c r="D31" t="str">
        <x:f>'RAW_센터채널성과'!D31</x:f>
        <x:v>설명회</x:v>
      </x:c>
      <x:c r="E31" t="n">
        <x:f>'RAW_센터채널성과'!E31</x:f>
        <x:v>28</x:v>
      </x:c>
      <x:c r="F31" t="n">
        <x:f>'RAW_센터채널성과'!F31</x:f>
        <x:v>16</x:v>
      </x:c>
      <x:c r="G31" t="n">
        <x:f>'RAW_센터채널성과'!G31</x:f>
        <x:v>6</x:v>
      </x:c>
      <x:c r="H31" s="3" t="n">
        <x:f>'RAW_센터채널성과'!H31</x:f>
        <x:v>3600000</x:v>
      </x:c>
      <x:c r="I31" s="3" t="n">
        <x:f>'RAW_센터채널성과'!I31</x:f>
        <x:v>0</x:v>
      </x:c>
      <x:c r="J31" s="3" t="n">
        <x:f>'RAW_센터채널성과'!J31</x:f>
        <x:v>60000</x:v>
      </x:c>
      <x:c r="K31" t="n">
        <x:f>'RAW_센터채널성과'!K31</x:f>
        <x:v>0</x:v>
      </x:c>
      <x:c r="L31" s="4" t="n">
        <x:f>IFERROR(F31/E31,0)</x:f>
        <x:v>0.5714285714285714</x:v>
      </x:c>
      <x:c r="M31" s="4" t="n">
        <x:f>IFERROR(G31/F31,0)</x:f>
        <x:v>0.375</x:v>
      </x:c>
      <x:c r="N31" s="4" t="n">
        <x:f>IFERROR(I31/G31,0)</x:f>
        <x:v>0</x:v>
      </x:c>
      <x:c r="O31" s="5" t="n">
        <x:f>IFERROR(H31/J31,0)</x:f>
        <x:v>60</x:v>
      </x:c>
    </x:row>
    <x:row r="32">
      <x:c r="A32" t="str">
        <x:f>'RAW_센터채널성과'!A32</x:f>
        <x:v>2026-02</x:v>
      </x:c>
      <x:c r="B32" t="str">
        <x:f>'RAW_센터채널성과'!B32</x:f>
        <x:v>부산센터</x:v>
      </x:c>
      <x:c r="C32" t="str">
        <x:f>'RAW_센터채널성과'!C32</x:f>
        <x:v>고등 입시</x:v>
      </x:c>
      <x:c r="D32" t="str">
        <x:f>'RAW_센터채널성과'!D32</x:f>
        <x:v>홈페이지</x:v>
      </x:c>
      <x:c r="E32" t="n">
        <x:f>'RAW_센터채널성과'!E32</x:f>
        <x:v>42</x:v>
      </x:c>
      <x:c r="F32" t="n">
        <x:f>'RAW_센터채널성과'!F32</x:f>
        <x:v>21</x:v>
      </x:c>
      <x:c r="G32" t="n">
        <x:f>'RAW_센터채널성과'!G32</x:f>
        <x:v>5</x:v>
      </x:c>
      <x:c r="H32" s="3" t="n">
        <x:f>'RAW_센터채널성과'!H32</x:f>
        <x:v>4650000</x:v>
      </x:c>
      <x:c r="I32" s="3" t="n">
        <x:f>'RAW_센터채널성과'!I32</x:f>
        <x:v>0</x:v>
      </x:c>
      <x:c r="J32" s="3" t="n">
        <x:f>'RAW_센터채널성과'!J32</x:f>
        <x:v>100000</x:v>
      </x:c>
      <x:c r="K32" t="n">
        <x:f>'RAW_센터채널성과'!K32</x:f>
        <x:v>0</x:v>
      </x:c>
      <x:c r="L32" s="4" t="n">
        <x:f>IFERROR(F32/E32,0)</x:f>
        <x:v>0.5</x:v>
      </x:c>
      <x:c r="M32" s="4" t="n">
        <x:f>IFERROR(G32/F32,0)</x:f>
        <x:v>0.23809523809523808</x:v>
      </x:c>
      <x:c r="N32" s="4" t="n">
        <x:f>IFERROR(I32/G32,0)</x:f>
        <x:v>0</x:v>
      </x:c>
      <x:c r="O32" s="5" t="n">
        <x:f>IFERROR(H32/J32,0)</x:f>
        <x:v>46.5</x:v>
      </x:c>
    </x:row>
    <x:row r="33">
      <x:c r="A33" t="str">
        <x:f>'RAW_센터채널성과'!A33</x:f>
        <x:v>2026-02</x:v>
      </x:c>
      <x:c r="B33" t="str">
        <x:f>'RAW_센터채널성과'!B33</x:f>
        <x:v>부산센터</x:v>
      </x:c>
      <x:c r="C33" t="str">
        <x:f>'RAW_센터채널성과'!C33</x:f>
        <x:v>초등 자기주도</x:v>
      </x:c>
      <x:c r="D33" t="str">
        <x:f>'RAW_센터채널성과'!D33</x:f>
        <x:v>블로그</x:v>
      </x:c>
      <x:c r="E33" t="n">
        <x:f>'RAW_센터채널성과'!E33</x:f>
        <x:v>96</x:v>
      </x:c>
      <x:c r="F33" t="n">
        <x:f>'RAW_센터채널성과'!F33</x:f>
        <x:v>50</x:v>
      </x:c>
      <x:c r="G33" t="n">
        <x:f>'RAW_센터채널성과'!G33</x:f>
        <x:v>20</x:v>
      </x:c>
      <x:c r="H33" s="3" t="n">
        <x:f>'RAW_센터채널성과'!H33</x:f>
        <x:v>18760000</x:v>
      </x:c>
      <x:c r="I33" s="3" t="n">
        <x:f>'RAW_센터채널성과'!I33</x:f>
        <x:v>2</x:v>
      </x:c>
      <x:c r="J33" s="3" t="n">
        <x:f>'RAW_센터채널성과'!J33</x:f>
        <x:v>330000</x:v>
      </x:c>
      <x:c r="K33" t="n">
        <x:f>'RAW_센터채널성과'!K33</x:f>
        <x:v>0</x:v>
      </x:c>
      <x:c r="L33" s="4" t="n">
        <x:f>IFERROR(F33/E33,0)</x:f>
        <x:v>0.5208333333333334</x:v>
      </x:c>
      <x:c r="M33" s="4" t="n">
        <x:f>IFERROR(G33/F33,0)</x:f>
        <x:v>0.4</x:v>
      </x:c>
      <x:c r="N33" s="4" t="n">
        <x:f>IFERROR(I33/G33,0)</x:f>
        <x:v>0.1</x:v>
      </x:c>
      <x:c r="O33" s="5" t="n">
        <x:f>IFERROR(H33/J33,0)</x:f>
        <x:v>56.84848484848485</x:v>
      </x:c>
    </x:row>
    <x:row r="34">
      <x:c r="A34" t="str">
        <x:f>'RAW_센터채널성과'!A34</x:f>
        <x:v>2026-02</x:v>
      </x:c>
      <x:c r="B34" t="str">
        <x:f>'RAW_센터채널성과'!B34</x:f>
        <x:v>부산센터</x:v>
      </x:c>
      <x:c r="C34" t="str">
        <x:f>'RAW_센터채널성과'!C34</x:f>
        <x:v>AI 학습관리</x:v>
      </x:c>
      <x:c r="D34" t="str">
        <x:f>'RAW_센터채널성과'!D34</x:f>
        <x:v>카카오채널</x:v>
      </x:c>
      <x:c r="E34" t="n">
        <x:f>'RAW_센터채널성과'!E34</x:f>
        <x:v>29</x:v>
      </x:c>
      <x:c r="F34" t="n">
        <x:f>'RAW_센터채널성과'!F34</x:f>
        <x:v>16</x:v>
      </x:c>
      <x:c r="G34" t="n">
        <x:f>'RAW_센터채널성과'!G34</x:f>
        <x:v>5</x:v>
      </x:c>
      <x:c r="H34" s="3" t="n">
        <x:f>'RAW_센터채널성과'!H34</x:f>
        <x:v>4270000</x:v>
      </x:c>
      <x:c r="I34" s="3" t="n">
        <x:f>'RAW_센터채널성과'!I34</x:f>
        <x:v>0</x:v>
      </x:c>
      <x:c r="J34" s="3" t="n">
        <x:f>'RAW_센터채널성과'!J34</x:f>
        <x:v>40000</x:v>
      </x:c>
      <x:c r="K34" t="n">
        <x:f>'RAW_센터채널성과'!K34</x:f>
        <x:v>0</x:v>
      </x:c>
      <x:c r="L34" s="4" t="n">
        <x:f>IFERROR(F34/E34,0)</x:f>
        <x:v>0.5517241379310345</x:v>
      </x:c>
      <x:c r="M34" s="4" t="n">
        <x:f>IFERROR(G34/F34,0)</x:f>
        <x:v>0.3125</x:v>
      </x:c>
      <x:c r="N34" s="4" t="n">
        <x:f>IFERROR(I34/G34,0)</x:f>
        <x:v>0</x:v>
      </x:c>
      <x:c r="O34" s="5" t="n">
        <x:f>IFERROR(H34/J34,0)</x:f>
        <x:v>106.75</x:v>
      </x:c>
    </x:row>
    <x:row r="35">
      <x:c r="A35" t="str">
        <x:f>'RAW_센터채널성과'!A35</x:f>
        <x:v>2026-02</x:v>
      </x:c>
      <x:c r="B35" t="str">
        <x:f>'RAW_센터채널성과'!B35</x:f>
        <x:v>부산센터</x:v>
      </x:c>
      <x:c r="C35" t="str">
        <x:f>'RAW_센터채널성과'!C35</x:f>
        <x:v>고등 입시</x:v>
      </x:c>
      <x:c r="D35" t="str">
        <x:f>'RAW_센터채널성과'!D35</x:f>
        <x:v>네이버광고</x:v>
      </x:c>
      <x:c r="E35" t="n">
        <x:f>'RAW_센터채널성과'!E35</x:f>
        <x:v>103</x:v>
      </x:c>
      <x:c r="F35" t="n">
        <x:f>'RAW_센터채널성과'!F35</x:f>
        <x:v>42</x:v>
      </x:c>
      <x:c r="G35" t="n">
        <x:f>'RAW_센터채널성과'!G35</x:f>
        <x:v>21</x:v>
      </x:c>
      <x:c r="H35" s="3" t="n">
        <x:f>'RAW_센터채널성과'!H35</x:f>
        <x:v>14760000</x:v>
      </x:c>
      <x:c r="I35" s="3" t="n">
        <x:f>'RAW_센터채널성과'!I35</x:f>
        <x:v>0</x:v>
      </x:c>
      <x:c r="J35" s="3" t="n">
        <x:f>'RAW_센터채널성과'!J35</x:f>
        <x:v>1980000</x:v>
      </x:c>
      <x:c r="K35" t="n">
        <x:f>'RAW_센터채널성과'!K35</x:f>
        <x:v>0</x:v>
      </x:c>
      <x:c r="L35" s="4" t="n">
        <x:f>IFERROR(F35/E35,0)</x:f>
        <x:v>0.4077669902912621</x:v>
      </x:c>
      <x:c r="M35" s="4" t="n">
        <x:f>IFERROR(G35/F35,0)</x:f>
        <x:v>0.5</x:v>
      </x:c>
      <x:c r="N35" s="4" t="n">
        <x:f>IFERROR(I35/G35,0)</x:f>
        <x:v>0</x:v>
      </x:c>
      <x:c r="O35" s="5" t="n">
        <x:f>IFERROR(H35/J35,0)</x:f>
        <x:v>7.454545454545454</x:v>
      </x:c>
    </x:row>
    <x:row r="36">
      <x:c r="A36" t="str">
        <x:f>'RAW_센터채널성과'!A36</x:f>
        <x:v>2026-02</x:v>
      </x:c>
      <x:c r="B36" t="str">
        <x:f>'RAW_센터채널성과'!B36</x:f>
        <x:v>부산센터</x:v>
      </x:c>
      <x:c r="C36" t="str">
        <x:f>'RAW_센터채널성과'!C36</x:f>
        <x:v>초등 자기주도</x:v>
      </x:c>
      <x:c r="D36" t="str">
        <x:f>'RAW_센터채널성과'!D36</x:f>
        <x:v>지인추천</x:v>
      </x:c>
      <x:c r="E36" t="n">
        <x:f>'RAW_센터채널성과'!E36</x:f>
        <x:v>39</x:v>
      </x:c>
      <x:c r="F36" t="n">
        <x:f>'RAW_센터채널성과'!F36</x:f>
        <x:v>16</x:v>
      </x:c>
      <x:c r="G36" t="n">
        <x:f>'RAW_센터채널성과'!G36</x:f>
        <x:v>6</x:v>
      </x:c>
      <x:c r="H36" s="3" t="n">
        <x:f>'RAW_센터채널성과'!H36</x:f>
        <x:v>3430000</x:v>
      </x:c>
      <x:c r="I36" s="3" t="n">
        <x:f>'RAW_센터채널성과'!I36</x:f>
        <x:v>0</x:v>
      </x:c>
      <x:c r="J36" s="3" t="n">
        <x:f>'RAW_센터채널성과'!J36</x:f>
        <x:v>100000</x:v>
      </x:c>
      <x:c r="K36" t="n">
        <x:f>'RAW_센터채널성과'!K36</x:f>
        <x:v>0</x:v>
      </x:c>
      <x:c r="L36" s="4" t="n">
        <x:f>IFERROR(F36/E36,0)</x:f>
        <x:v>0.41025641025641024</x:v>
      </x:c>
      <x:c r="M36" s="4" t="n">
        <x:f>IFERROR(G36/F36,0)</x:f>
        <x:v>0.375</x:v>
      </x:c>
      <x:c r="N36" s="4" t="n">
        <x:f>IFERROR(I36/G36,0)</x:f>
        <x:v>0</x:v>
      </x:c>
      <x:c r="O36" s="5" t="n">
        <x:f>IFERROR(H36/J36,0)</x:f>
        <x:v>34.3</x:v>
      </x:c>
    </x:row>
    <x:row r="37">
      <x:c r="A37" t="str">
        <x:f>'RAW_센터채널성과'!A37</x:f>
        <x:v>2026-02</x:v>
      </x:c>
      <x:c r="B37" t="str">
        <x:f>'RAW_센터채널성과'!B37</x:f>
        <x:v>부산센터</x:v>
      </x:c>
      <x:c r="C37" t="str">
        <x:f>'RAW_센터채널성과'!C37</x:f>
        <x:v>학부모 코칭</x:v>
      </x:c>
      <x:c r="D37" t="str">
        <x:f>'RAW_센터채널성과'!D37</x:f>
        <x:v>설명회</x:v>
      </x:c>
      <x:c r="E37" t="n">
        <x:f>'RAW_센터채널성과'!E37</x:f>
        <x:v>75</x:v>
      </x:c>
      <x:c r="F37" t="n">
        <x:f>'RAW_센터채널성과'!F37</x:f>
        <x:v>41</x:v>
      </x:c>
      <x:c r="G37" t="n">
        <x:f>'RAW_센터채널성과'!G37</x:f>
        <x:v>15</x:v>
      </x:c>
      <x:c r="H37" s="3" t="n">
        <x:f>'RAW_센터채널성과'!H37</x:f>
        <x:v>8040000</x:v>
      </x:c>
      <x:c r="I37" s="3" t="n">
        <x:f>'RAW_센터채널성과'!I37</x:f>
        <x:v>0</x:v>
      </x:c>
      <x:c r="J37" s="3" t="n">
        <x:f>'RAW_센터채널성과'!J37</x:f>
        <x:v>90000</x:v>
      </x:c>
      <x:c r="K37" t="n">
        <x:f>'RAW_센터채널성과'!K37</x:f>
        <x:v>0</x:v>
      </x:c>
      <x:c r="L37" s="4" t="n">
        <x:f>IFERROR(F37/E37,0)</x:f>
        <x:v>0.5466666666666666</x:v>
      </x:c>
      <x:c r="M37" s="4" t="n">
        <x:f>IFERROR(G37/F37,0)</x:f>
        <x:v>0.36585365853658536</x:v>
      </x:c>
      <x:c r="N37" s="4" t="n">
        <x:f>IFERROR(I37/G37,0)</x:f>
        <x:v>0</x:v>
      </x:c>
      <x:c r="O37" s="5" t="n">
        <x:f>IFERROR(H37/J37,0)</x:f>
        <x:v>89.33333333333333</x:v>
      </x:c>
    </x:row>
    <x:row r="38">
      <x:c r="A38" t="str">
        <x:f>'RAW_센터채널성과'!A38</x:f>
        <x:v>2026-03</x:v>
      </x:c>
      <x:c r="B38" t="str">
        <x:f>'RAW_센터채널성과'!B38</x:f>
        <x:v>강남센터</x:v>
      </x:c>
      <x:c r="C38" t="str">
        <x:f>'RAW_센터채널성과'!C38</x:f>
        <x:v>초등 자기주도</x:v>
      </x:c>
      <x:c r="D38" t="str">
        <x:f>'RAW_센터채널성과'!D38</x:f>
        <x:v>홈페이지</x:v>
      </x:c>
      <x:c r="E38" t="n">
        <x:f>'RAW_센터채널성과'!E38</x:f>
        <x:v>35</x:v>
      </x:c>
      <x:c r="F38" t="n">
        <x:f>'RAW_센터채널성과'!F38</x:f>
        <x:v>15</x:v>
      </x:c>
      <x:c r="G38" t="n">
        <x:f>'RAW_센터채널성과'!G38</x:f>
        <x:v>3</x:v>
      </x:c>
      <x:c r="H38" s="3" t="n">
        <x:f>'RAW_센터채널성과'!H38</x:f>
        <x:v>1770000</x:v>
      </x:c>
      <x:c r="I38" s="3" t="n">
        <x:f>'RAW_센터채널성과'!I38</x:f>
        <x:v>0</x:v>
      </x:c>
      <x:c r="J38" s="3" t="n">
        <x:f>'RAW_센터채널성과'!J38</x:f>
        <x:v>120000</x:v>
      </x:c>
      <x:c r="K38" t="n">
        <x:f>'RAW_센터채널성과'!K38</x:f>
        <x:v>0</x:v>
      </x:c>
      <x:c r="L38" s="4" t="n">
        <x:f>IFERROR(F38/E38,0)</x:f>
        <x:v>0.42857142857142855</x:v>
      </x:c>
      <x:c r="M38" s="4" t="n">
        <x:f>IFERROR(G38/F38,0)</x:f>
        <x:v>0.2</x:v>
      </x:c>
      <x:c r="N38" s="4" t="n">
        <x:f>IFERROR(I38/G38,0)</x:f>
        <x:v>0</x:v>
      </x:c>
      <x:c r="O38" s="5" t="n">
        <x:f>IFERROR(H38/J38,0)</x:f>
        <x:v>14.75</x:v>
      </x:c>
    </x:row>
    <x:row r="39">
      <x:c r="A39" t="str">
        <x:f>'RAW_센터채널성과'!A39</x:f>
        <x:v>2026-03</x:v>
      </x:c>
      <x:c r="B39" t="str">
        <x:f>'RAW_센터채널성과'!B39</x:f>
        <x:v>강남센터</x:v>
      </x:c>
      <x:c r="C39" t="str">
        <x:f>'RAW_센터채널성과'!C39</x:f>
        <x:v>학부모 코칭</x:v>
      </x:c>
      <x:c r="D39" t="str">
        <x:f>'RAW_센터채널성과'!D39</x:f>
        <x:v>블로그</x:v>
      </x:c>
      <x:c r="E39" t="n">
        <x:f>'RAW_센터채널성과'!E39</x:f>
        <x:v>64</x:v>
      </x:c>
      <x:c r="F39" t="n">
        <x:f>'RAW_센터채널성과'!F39</x:f>
        <x:v>35</x:v>
      </x:c>
      <x:c r="G39" t="n">
        <x:f>'RAW_센터채널성과'!G39</x:f>
        <x:v>14</x:v>
      </x:c>
      <x:c r="H39" s="3" t="n">
        <x:f>'RAW_센터채널성과'!H39</x:f>
        <x:v>11930000</x:v>
      </x:c>
      <x:c r="I39" s="3" t="n">
        <x:f>'RAW_센터채널성과'!I39</x:f>
        <x:v>2</x:v>
      </x:c>
      <x:c r="J39" s="3" t="n">
        <x:f>'RAW_센터채널성과'!J39</x:f>
        <x:v>240000</x:v>
      </x:c>
      <x:c r="K39" t="n">
        <x:f>'RAW_센터채널성과'!K39</x:f>
        <x:v>0</x:v>
      </x:c>
      <x:c r="L39" s="4" t="n">
        <x:f>IFERROR(F39/E39,0)</x:f>
        <x:v>0.546875</x:v>
      </x:c>
      <x:c r="M39" s="4" t="n">
        <x:f>IFERROR(G39/F39,0)</x:f>
        <x:v>0.4</x:v>
      </x:c>
      <x:c r="N39" s="4" t="n">
        <x:f>IFERROR(I39/G39,0)</x:f>
        <x:v>0.14285714285714285</x:v>
      </x:c>
      <x:c r="O39" s="5" t="n">
        <x:f>IFERROR(H39/J39,0)</x:f>
        <x:v>49.708333333333336</x:v>
      </x:c>
    </x:row>
    <x:row r="40">
      <x:c r="A40" t="str">
        <x:f>'RAW_센터채널성과'!A40</x:f>
        <x:v>2026-03</x:v>
      </x:c>
      <x:c r="B40" t="str">
        <x:f>'RAW_센터채널성과'!B40</x:f>
        <x:v>강남센터</x:v>
      </x:c>
      <x:c r="C40" t="str">
        <x:f>'RAW_센터채널성과'!C40</x:f>
        <x:v>고등 입시</x:v>
      </x:c>
      <x:c r="D40" t="str">
        <x:f>'RAW_센터채널성과'!D40</x:f>
        <x:v>카카오채널</x:v>
      </x:c>
      <x:c r="E40" t="n">
        <x:f>'RAW_센터채널성과'!E40</x:f>
        <x:v>60</x:v>
      </x:c>
      <x:c r="F40" t="n">
        <x:f>'RAW_센터채널성과'!F40</x:f>
        <x:v>26</x:v>
      </x:c>
      <x:c r="G40" t="n">
        <x:f>'RAW_센터채널성과'!G40</x:f>
        <x:v>7</x:v>
      </x:c>
      <x:c r="H40" s="3" t="n">
        <x:f>'RAW_센터채널성과'!H40</x:f>
        <x:v>6960000</x:v>
      </x:c>
      <x:c r="I40" s="3" t="n">
        <x:f>'RAW_센터채널성과'!I40</x:f>
        <x:v>1</x:v>
      </x:c>
      <x:c r="J40" s="3" t="n">
        <x:f>'RAW_센터채널성과'!J40</x:f>
        <x:v>170000</x:v>
      </x:c>
      <x:c r="K40" t="n">
        <x:f>'RAW_센터채널성과'!K40</x:f>
        <x:v>0</x:v>
      </x:c>
      <x:c r="L40" s="4" t="n">
        <x:f>IFERROR(F40/E40,0)</x:f>
        <x:v>0.43333333333333335</x:v>
      </x:c>
      <x:c r="M40" s="4" t="n">
        <x:f>IFERROR(G40/F40,0)</x:f>
        <x:v>0.2692307692307692</x:v>
      </x:c>
      <x:c r="N40" s="4" t="n">
        <x:f>IFERROR(I40/G40,0)</x:f>
        <x:v>0.14285714285714285</x:v>
      </x:c>
      <x:c r="O40" s="5" t="n">
        <x:f>IFERROR(H40/J40,0)</x:f>
        <x:v>40.94117647058823</x:v>
      </x:c>
    </x:row>
    <x:row r="41">
      <x:c r="A41" t="str">
        <x:f>'RAW_센터채널성과'!A41</x:f>
        <x:v>2026-03</x:v>
      </x:c>
      <x:c r="B41" t="str">
        <x:f>'RAW_센터채널성과'!B41</x:f>
        <x:v>강남센터</x:v>
      </x:c>
      <x:c r="C41" t="str">
        <x:f>'RAW_센터채널성과'!C41</x:f>
        <x:v>중등 내신</x:v>
      </x:c>
      <x:c r="D41" t="str">
        <x:f>'RAW_센터채널성과'!D41</x:f>
        <x:v>네이버광고</x:v>
      </x:c>
      <x:c r="E41" t="n">
        <x:f>'RAW_센터채널성과'!E41</x:f>
        <x:v>54</x:v>
      </x:c>
      <x:c r="F41" t="n">
        <x:f>'RAW_센터채널성과'!F41</x:f>
        <x:v>25</x:v>
      </x:c>
      <x:c r="G41" t="n">
        <x:f>'RAW_센터채널성과'!G41</x:f>
        <x:v>8</x:v>
      </x:c>
      <x:c r="H41" s="3" t="n">
        <x:f>'RAW_센터채널성과'!H41</x:f>
        <x:v>5340000</x:v>
      </x:c>
      <x:c r="I41" s="3" t="n">
        <x:f>'RAW_센터채널성과'!I41</x:f>
        <x:v>0</x:v>
      </x:c>
      <x:c r="J41" s="3" t="n">
        <x:f>'RAW_센터채널성과'!J41</x:f>
        <x:v>680000</x:v>
      </x:c>
      <x:c r="K41" t="str">
        <x:f>'RAW_센터채널성과'!K41</x:f>
        <x:v>설명회 유입 포함</x:v>
      </x:c>
      <x:c r="L41" s="4" t="n">
        <x:f>IFERROR(F41/E41,0)</x:f>
        <x:v>0.46296296296296297</x:v>
      </x:c>
      <x:c r="M41" s="4" t="n">
        <x:f>IFERROR(G41/F41,0)</x:f>
        <x:v>0.32</x:v>
      </x:c>
      <x:c r="N41" s="4" t="n">
        <x:f>IFERROR(I41/G41,0)</x:f>
        <x:v>0</x:v>
      </x:c>
      <x:c r="O41" s="5" t="n">
        <x:f>IFERROR(H41/J41,0)</x:f>
        <x:v>7.852941176470588</x:v>
      </x:c>
    </x:row>
    <x:row r="42">
      <x:c r="A42" t="str">
        <x:f>'RAW_센터채널성과'!A42</x:f>
        <x:v>2026-03</x:v>
      </x:c>
      <x:c r="B42" t="str">
        <x:f>'RAW_센터채널성과'!B42</x:f>
        <x:v>강남센터</x:v>
      </x:c>
      <x:c r="C42" t="str">
        <x:f>'RAW_센터채널성과'!C42</x:f>
        <x:v>AI 학습관리</x:v>
      </x:c>
      <x:c r="D42" t="str">
        <x:f>'RAW_센터채널성과'!D42</x:f>
        <x:v>지인추천</x:v>
      </x:c>
      <x:c r="E42" t="n">
        <x:f>'RAW_센터채널성과'!E42</x:f>
        <x:v>100</x:v>
      </x:c>
      <x:c r="F42" t="n">
        <x:f>'RAW_센터채널성과'!F42</x:f>
        <x:v>50</x:v>
      </x:c>
      <x:c r="G42" t="n">
        <x:f>'RAW_센터채널성과'!G42</x:f>
        <x:v>20</x:v>
      </x:c>
      <x:c r="H42" s="3" t="n">
        <x:f>'RAW_센터채널성과'!H42</x:f>
        <x:v>9920000</x:v>
      </x:c>
      <x:c r="I42" s="3" t="n">
        <x:f>'RAW_센터채널성과'!I42</x:f>
        <x:v>0</x:v>
      </x:c>
      <x:c r="J42" s="3" t="n">
        <x:f>'RAW_센터채널성과'!J42</x:f>
        <x:v>350000</x:v>
      </x:c>
      <x:c r="K42" t="n">
        <x:f>'RAW_센터채널성과'!K42</x:f>
        <x:v>0</x:v>
      </x:c>
      <x:c r="L42" s="4" t="n">
        <x:f>IFERROR(F42/E42,0)</x:f>
        <x:v>0.5</x:v>
      </x:c>
      <x:c r="M42" s="4" t="n">
        <x:f>IFERROR(G42/F42,0)</x:f>
        <x:v>0.4</x:v>
      </x:c>
      <x:c r="N42" s="4" t="n">
        <x:f>IFERROR(I42/G42,0)</x:f>
        <x:v>0</x:v>
      </x:c>
      <x:c r="O42" s="5" t="n">
        <x:f>IFERROR(H42/J42,0)</x:f>
        <x:v>28.34285714285714</x:v>
      </x:c>
    </x:row>
    <x:row r="43">
      <x:c r="A43" t="str">
        <x:f>'RAW_센터채널성과'!A43</x:f>
        <x:v>2026-03</x:v>
      </x:c>
      <x:c r="B43" t="str">
        <x:f>'RAW_센터채널성과'!B43</x:f>
        <x:v>강남센터</x:v>
      </x:c>
      <x:c r="C43" t="str">
        <x:f>'RAW_센터채널성과'!C43</x:f>
        <x:v>고등 입시</x:v>
      </x:c>
      <x:c r="D43" t="str">
        <x:f>'RAW_센터채널성과'!D43</x:f>
        <x:v>설명회</x:v>
      </x:c>
      <x:c r="E43" t="n">
        <x:f>'RAW_센터채널성과'!E43</x:f>
        <x:v>30</x:v>
      </x:c>
      <x:c r="F43" t="n">
        <x:f>'RAW_센터채널성과'!F43</x:f>
        <x:v>20</x:v>
      </x:c>
      <x:c r="G43" t="n">
        <x:f>'RAW_센터채널성과'!G43</x:f>
        <x:v>4</x:v>
      </x:c>
      <x:c r="H43" s="3" t="n">
        <x:f>'RAW_센터채널성과'!H43</x:f>
        <x:v>2610000</x:v>
      </x:c>
      <x:c r="I43" s="3" t="n">
        <x:f>'RAW_센터채널성과'!I43</x:f>
        <x:v>2</x:v>
      </x:c>
      <x:c r="J43" s="3" t="n">
        <x:f>'RAW_센터채널성과'!J43</x:f>
        <x:v>70000</x:v>
      </x:c>
      <x:c r="K43" t="n">
        <x:f>'RAW_센터채널성과'!K43</x:f>
        <x:v>0</x:v>
      </x:c>
      <x:c r="L43" s="4" t="n">
        <x:f>IFERROR(F43/E43,0)</x:f>
        <x:v>0.6666666666666666</x:v>
      </x:c>
      <x:c r="M43" s="4" t="n">
        <x:f>IFERROR(G43/F43,0)</x:f>
        <x:v>0.2</x:v>
      </x:c>
      <x:c r="N43" s="4" t="n">
        <x:f>IFERROR(I43/G43,0)</x:f>
        <x:v>0.5</x:v>
      </x:c>
      <x:c r="O43" s="5" t="n">
        <x:f>IFERROR(H43/J43,0)</x:f>
        <x:v>37.285714285714285</x:v>
      </x:c>
    </x:row>
    <x:row r="44">
      <x:c r="A44" t="str">
        <x:f>'RAW_센터채널성과'!A44</x:f>
        <x:v>2026-03</x:v>
      </x:c>
      <x:c r="B44" t="str">
        <x:f>'RAW_센터채널성과'!B44</x:f>
        <x:v>분당센터</x:v>
      </x:c>
      <x:c r="C44" t="str">
        <x:f>'RAW_센터채널성과'!C44</x:f>
        <x:v>중등 내신</x:v>
      </x:c>
      <x:c r="D44" t="str">
        <x:f>'RAW_센터채널성과'!D44</x:f>
        <x:v>홈페이지</x:v>
      </x:c>
      <x:c r="E44" t="n">
        <x:f>'RAW_센터채널성과'!E44</x:f>
        <x:v>59</x:v>
      </x:c>
      <x:c r="F44" t="n">
        <x:f>'RAW_센터채널성과'!F44</x:f>
        <x:v>24</x:v>
      </x:c>
      <x:c r="G44" t="n">
        <x:f>'RAW_센터채널성과'!G44</x:f>
        <x:v>5</x:v>
      </x:c>
      <x:c r="H44" s="3" t="n">
        <x:f>'RAW_센터채널성과'!H44</x:f>
        <x:v>2440000</x:v>
      </x:c>
      <x:c r="I44" s="3" t="n">
        <x:f>'RAW_센터채널성과'!I44</x:f>
        <x:v>0</x:v>
      </x:c>
      <x:c r="J44" s="3" t="n">
        <x:f>'RAW_센터채널성과'!J44</x:f>
        <x:v>170000</x:v>
      </x:c>
      <x:c r="K44" t="n">
        <x:f>'RAW_센터채널성과'!K44</x:f>
        <x:v>0</x:v>
      </x:c>
      <x:c r="L44" s="4" t="n">
        <x:f>IFERROR(F44/E44,0)</x:f>
        <x:v>0.4067796610169492</x:v>
      </x:c>
      <x:c r="M44" s="4" t="n">
        <x:f>IFERROR(G44/F44,0)</x:f>
        <x:v>0.20833333333333334</x:v>
      </x:c>
      <x:c r="N44" s="4" t="n">
        <x:f>IFERROR(I44/G44,0)</x:f>
        <x:v>0</x:v>
      </x:c>
      <x:c r="O44" s="5" t="n">
        <x:f>IFERROR(H44/J44,0)</x:f>
        <x:v>14.352941176470589</x:v>
      </x:c>
    </x:row>
    <x:row r="45">
      <x:c r="A45" t="str">
        <x:f>'RAW_센터채널성과'!A45</x:f>
        <x:v>2026-03</x:v>
      </x:c>
      <x:c r="B45" t="str">
        <x:f>'RAW_센터채널성과'!B45</x:f>
        <x:v>분당센터</x:v>
      </x:c>
      <x:c r="C45" t="str">
        <x:f>'RAW_센터채널성과'!C45</x:f>
        <x:v>AI 학습관리</x:v>
      </x:c>
      <x:c r="D45" t="str">
        <x:f>'RAW_센터채널성과'!D45</x:f>
        <x:v>블로그</x:v>
      </x:c>
      <x:c r="E45" t="n">
        <x:f>'RAW_센터채널성과'!E45</x:f>
        <x:v>51</x:v>
      </x:c>
      <x:c r="F45" t="n">
        <x:f>'RAW_센터채널성과'!F45</x:f>
        <x:v>33</x:v>
      </x:c>
      <x:c r="G45" t="n">
        <x:f>'RAW_센터채널성과'!G45</x:f>
        <x:v>10</x:v>
      </x:c>
      <x:c r="H45" s="3" t="n">
        <x:f>'RAW_센터채널성과'!H45</x:f>
        <x:v>5760000</x:v>
      </x:c>
      <x:c r="I45" s="3" t="n">
        <x:f>'RAW_센터채널성과'!I45</x:f>
        <x:v>0</x:v>
      </x:c>
      <x:c r="J45" s="3" t="n">
        <x:f>'RAW_센터채널성과'!J45</x:f>
        <x:v>190000</x:v>
      </x:c>
      <x:c r="K45" t="n">
        <x:f>'RAW_센터채널성과'!K45</x:f>
        <x:v>0</x:v>
      </x:c>
      <x:c r="L45" s="4" t="n">
        <x:f>IFERROR(F45/E45,0)</x:f>
        <x:v>0.6470588235294118</x:v>
      </x:c>
      <x:c r="M45" s="4" t="n">
        <x:f>IFERROR(G45/F45,0)</x:f>
        <x:v>0.30303030303030304</x:v>
      </x:c>
      <x:c r="N45" s="4" t="n">
        <x:f>IFERROR(I45/G45,0)</x:f>
        <x:v>0</x:v>
      </x:c>
      <x:c r="O45" s="5" t="n">
        <x:f>IFERROR(H45/J45,0)</x:f>
        <x:v>30.31578947368421</x:v>
      </x:c>
    </x:row>
    <x:row r="46">
      <x:c r="A46" t="str">
        <x:f>'RAW_센터채널성과'!A46</x:f>
        <x:v>2026-03</x:v>
      </x:c>
      <x:c r="B46" t="str">
        <x:f>'RAW_센터채널성과'!B46</x:f>
        <x:v>분당센터</x:v>
      </x:c>
      <x:c r="C46" t="str">
        <x:f>'RAW_센터채널성과'!C46</x:f>
        <x:v>고등 입시</x:v>
      </x:c>
      <x:c r="D46" t="str">
        <x:f>'RAW_센터채널성과'!D46</x:f>
        <x:v>카카오채널</x:v>
      </x:c>
      <x:c r="E46" t="n">
        <x:f>'RAW_센터채널성과'!E46</x:f>
        <x:v>81</x:v>
      </x:c>
      <x:c r="F46" t="n">
        <x:f>'RAW_센터채널성과'!F46</x:f>
        <x:v>39</x:v>
      </x:c>
      <x:c r="G46" t="n">
        <x:f>'RAW_센터채널성과'!G46</x:f>
        <x:v>13</x:v>
      </x:c>
      <x:c r="H46" s="3" t="n">
        <x:f>'RAW_센터채널성과'!H46</x:f>
        <x:v>12520000</x:v>
      </x:c>
      <x:c r="I46" s="3" t="n">
        <x:f>'RAW_센터채널성과'!I46</x:f>
        <x:v>0</x:v>
      </x:c>
      <x:c r="J46" s="3" t="n">
        <x:f>'RAW_센터채널성과'!J46</x:f>
        <x:v>150000</x:v>
      </x:c>
      <x:c r="K46" t="n">
        <x:f>'RAW_센터채널성과'!K46</x:f>
        <x:v>0</x:v>
      </x:c>
      <x:c r="L46" s="4" t="n">
        <x:f>IFERROR(F46/E46,0)</x:f>
        <x:v>0.48148148148148145</x:v>
      </x:c>
      <x:c r="M46" s="4" t="n">
        <x:f>IFERROR(G46/F46,0)</x:f>
        <x:v>0.3333333333333333</x:v>
      </x:c>
      <x:c r="N46" s="4" t="n">
        <x:f>IFERROR(I46/G46,0)</x:f>
        <x:v>0</x:v>
      </x:c>
      <x:c r="O46" s="5" t="n">
        <x:f>IFERROR(H46/J46,0)</x:f>
        <x:v>83.46666666666667</x:v>
      </x:c>
    </x:row>
    <x:row r="47">
      <x:c r="A47" t="str">
        <x:f>'RAW_센터채널성과'!A47</x:f>
        <x:v>2026-03</x:v>
      </x:c>
      <x:c r="B47" t="str">
        <x:f>'RAW_센터채널성과'!B47</x:f>
        <x:v>분당센터</x:v>
      </x:c>
      <x:c r="C47" t="str">
        <x:f>'RAW_센터채널성과'!C47</x:f>
        <x:v>초등 자기주도</x:v>
      </x:c>
      <x:c r="D47" t="str">
        <x:f>'RAW_센터채널성과'!D47</x:f>
        <x:v>네이버광고</x:v>
      </x:c>
      <x:c r="E47" t="n">
        <x:f>'RAW_센터채널성과'!E47</x:f>
        <x:v>26</x:v>
      </x:c>
      <x:c r="F47" t="n">
        <x:f>'RAW_센터채널성과'!F47</x:f>
        <x:v>13</x:v>
      </x:c>
      <x:c r="G47" t="n">
        <x:f>'RAW_센터채널성과'!G47</x:f>
        <x:v>2</x:v>
      </x:c>
      <x:c r="H47" s="3" t="n">
        <x:f>'RAW_센터채널성과'!H47</x:f>
        <x:v>1060000</x:v>
      </x:c>
      <x:c r="I47" s="3" t="n">
        <x:f>'RAW_센터채널성과'!I47</x:f>
        <x:v>0</x:v>
      </x:c>
      <x:c r="J47" s="3" t="n">
        <x:f>'RAW_센터채널성과'!J47</x:f>
        <x:v>370000</x:v>
      </x:c>
      <x:c r="K47" t="n">
        <x:f>'RAW_센터채널성과'!K47</x:f>
        <x:v>0</x:v>
      </x:c>
      <x:c r="L47" s="4" t="n">
        <x:f>IFERROR(F47/E47,0)</x:f>
        <x:v>0.5</x:v>
      </x:c>
      <x:c r="M47" s="4" t="n">
        <x:f>IFERROR(G47/F47,0)</x:f>
        <x:v>0.15384615384615385</x:v>
      </x:c>
      <x:c r="N47" s="4" t="n">
        <x:f>IFERROR(I47/G47,0)</x:f>
        <x:v>0</x:v>
      </x:c>
      <x:c r="O47" s="5" t="n">
        <x:f>IFERROR(H47/J47,0)</x:f>
        <x:v>2.864864864864865</x:v>
      </x:c>
    </x:row>
    <x:row r="48">
      <x:c r="A48" t="str">
        <x:f>'RAW_센터채널성과'!A48</x:f>
        <x:v>2026-03</x:v>
      </x:c>
      <x:c r="B48" t="str">
        <x:f>'RAW_센터채널성과'!B48</x:f>
        <x:v>분당센터</x:v>
      </x:c>
      <x:c r="C48" t="str">
        <x:f>'RAW_센터채널성과'!C48</x:f>
        <x:v>학부모 코칭</x:v>
      </x:c>
      <x:c r="D48" t="str">
        <x:f>'RAW_센터채널성과'!D48</x:f>
        <x:v>지인추천</x:v>
      </x:c>
      <x:c r="E48" t="n">
        <x:f>'RAW_센터채널성과'!E48</x:f>
        <x:v>75</x:v>
      </x:c>
      <x:c r="F48" t="n">
        <x:f>'RAW_센터채널성과'!F48</x:f>
        <x:v>42</x:v>
      </x:c>
      <x:c r="G48" t="n">
        <x:f>'RAW_센터채널성과'!G48</x:f>
        <x:v>17</x:v>
      </x:c>
      <x:c r="H48" s="3" t="n">
        <x:f>'RAW_센터채널성과'!H48</x:f>
        <x:v>9680000</x:v>
      </x:c>
      <x:c r="I48" s="3" t="n">
        <x:f>'RAW_센터채널성과'!I48</x:f>
        <x:v>0</x:v>
      </x:c>
      <x:c r="J48" s="3" t="n">
        <x:f>'RAW_센터채널성과'!J48</x:f>
        <x:v>110000</x:v>
      </x:c>
      <x:c r="K48" t="n">
        <x:f>'RAW_센터채널성과'!K48</x:f>
        <x:v>0</x:v>
      </x:c>
      <x:c r="L48" s="4" t="n">
        <x:f>IFERROR(F48/E48,0)</x:f>
        <x:v>0.56</x:v>
      </x:c>
      <x:c r="M48" s="4" t="n">
        <x:f>IFERROR(G48/F48,0)</x:f>
        <x:v>0.40476190476190477</x:v>
      </x:c>
      <x:c r="N48" s="4" t="n">
        <x:f>IFERROR(I48/G48,0)</x:f>
        <x:v>0</x:v>
      </x:c>
      <x:c r="O48" s="5" t="n">
        <x:f>IFERROR(H48/J48,0)</x:f>
        <x:v>88</x:v>
      </x:c>
    </x:row>
    <x:row r="49">
      <x:c r="A49" t="str">
        <x:f>'RAW_센터채널성과'!A49</x:f>
        <x:v>2026-03</x:v>
      </x:c>
      <x:c r="B49" t="str">
        <x:f>'RAW_센터채널성과'!B49</x:f>
        <x:v>분당센터</x:v>
      </x:c>
      <x:c r="C49" t="str">
        <x:f>'RAW_센터채널성과'!C49</x:f>
        <x:v>중등 내신</x:v>
      </x:c>
      <x:c r="D49" t="str">
        <x:f>'RAW_센터채널성과'!D49</x:f>
        <x:v>설명회</x:v>
      </x:c>
      <x:c r="E49" t="n">
        <x:f>'RAW_센터채널성과'!E49</x:f>
        <x:v>79</x:v>
      </x:c>
      <x:c r="F49" t="n">
        <x:f>'RAW_센터채널성과'!F49</x:f>
        <x:v>33</x:v>
      </x:c>
      <x:c r="G49" t="n">
        <x:f>'RAW_센터채널성과'!G49</x:f>
        <x:v>8</x:v>
      </x:c>
      <x:c r="H49" s="3" t="n">
        <x:f>'RAW_센터채널성과'!H49</x:f>
        <x:v>4250000</x:v>
      </x:c>
      <x:c r="I49" s="3" t="n">
        <x:f>'RAW_센터채널성과'!I49</x:f>
        <x:v>0</x:v>
      </x:c>
      <x:c r="J49" s="3" t="n">
        <x:f>'RAW_센터채널성과'!J49</x:f>
        <x:v>130000</x:v>
      </x:c>
      <x:c r="K49" t="n">
        <x:f>'RAW_센터채널성과'!K49</x:f>
        <x:v>0</x:v>
      </x:c>
      <x:c r="L49" s="4" t="n">
        <x:f>IFERROR(F49/E49,0)</x:f>
        <x:v>0.4177215189873418</x:v>
      </x:c>
      <x:c r="M49" s="4" t="n">
        <x:f>IFERROR(G49/F49,0)</x:f>
        <x:v>0.24242424242424243</x:v>
      </x:c>
      <x:c r="N49" s="4" t="n">
        <x:f>IFERROR(I49/G49,0)</x:f>
        <x:v>0</x:v>
      </x:c>
      <x:c r="O49" s="5" t="n">
        <x:f>IFERROR(H49/J49,0)</x:f>
        <x:v>32.69230769230769</x:v>
      </x:c>
    </x:row>
    <x:row r="50">
      <x:c r="A50" t="str">
        <x:f>'RAW_센터채널성과'!A50</x:f>
        <x:v>2026-03</x:v>
      </x:c>
      <x:c r="B50" t="str">
        <x:f>'RAW_센터채널성과'!B50</x:f>
        <x:v>송파센터</x:v>
      </x:c>
      <x:c r="C50" t="str">
        <x:f>'RAW_센터채널성과'!C50</x:f>
        <x:v>AI 학습관리</x:v>
      </x:c>
      <x:c r="D50" t="str">
        <x:f>'RAW_센터채널성과'!D50</x:f>
        <x:v>홈페이지</x:v>
      </x:c>
      <x:c r="E50" t="n">
        <x:f>'RAW_센터채널성과'!E50</x:f>
        <x:v>96</x:v>
      </x:c>
      <x:c r="F50" t="n">
        <x:f>'RAW_센터채널성과'!F50</x:f>
        <x:v>51</x:v>
      </x:c>
      <x:c r="G50" t="n">
        <x:f>'RAW_센터채널성과'!G50</x:f>
        <x:v>11</x:v>
      </x:c>
      <x:c r="H50" s="3" t="n">
        <x:f>'RAW_센터채널성과'!H50</x:f>
        <x:v>7930000</x:v>
      </x:c>
      <x:c r="I50" s="3" t="n">
        <x:f>'RAW_센터채널성과'!I50</x:f>
        <x:v>2</x:v>
      </x:c>
      <x:c r="J50" s="3" t="n">
        <x:f>'RAW_센터채널성과'!J50</x:f>
        <x:v>130000</x:v>
      </x:c>
      <x:c r="K50" t="n">
        <x:f>'RAW_센터채널성과'!K50</x:f>
        <x:v>0</x:v>
      </x:c>
      <x:c r="L50" s="4" t="n">
        <x:f>IFERROR(F50/E50,0)</x:f>
        <x:v>0.53125</x:v>
      </x:c>
      <x:c r="M50" s="4" t="n">
        <x:f>IFERROR(G50/F50,0)</x:f>
        <x:v>0.21568627450980393</x:v>
      </x:c>
      <x:c r="N50" s="4" t="n">
        <x:f>IFERROR(I50/G50,0)</x:f>
        <x:v>0.18181818181818182</x:v>
      </x:c>
      <x:c r="O50" s="5" t="n">
        <x:f>IFERROR(H50/J50,0)</x:f>
        <x:v>61</x:v>
      </x:c>
    </x:row>
    <x:row r="51">
      <x:c r="A51" t="str">
        <x:f>'RAW_센터채널성과'!A51</x:f>
        <x:v>2026-03</x:v>
      </x:c>
      <x:c r="B51" t="str">
        <x:f>'RAW_센터채널성과'!B51</x:f>
        <x:v>송파센터</x:v>
      </x:c>
      <x:c r="C51" t="str">
        <x:f>'RAW_센터채널성과'!C51</x:f>
        <x:v>학부모 코칭</x:v>
      </x:c>
      <x:c r="D51" t="str">
        <x:f>'RAW_센터채널성과'!D51</x:f>
        <x:v>블로그</x:v>
      </x:c>
      <x:c r="E51" t="n">
        <x:f>'RAW_센터채널성과'!E51</x:f>
        <x:v>52</x:v>
      </x:c>
      <x:c r="F51" t="n">
        <x:f>'RAW_센터채널성과'!F51</x:f>
        <x:v>25</x:v>
      </x:c>
      <x:c r="G51" t="n">
        <x:f>'RAW_센터채널성과'!G51</x:f>
        <x:v>5</x:v>
      </x:c>
      <x:c r="H51" s="3" t="n">
        <x:f>'RAW_센터채널성과'!H51</x:f>
        <x:v>4150000</x:v>
      </x:c>
      <x:c r="I51" s="3" t="n">
        <x:f>'RAW_센터채널성과'!I51</x:f>
        <x:v>2</x:v>
      </x:c>
      <x:c r="J51" s="3" t="n">
        <x:f>'RAW_센터채널성과'!J51</x:f>
        <x:v>140000</x:v>
      </x:c>
      <x:c r="K51" t="n">
        <x:f>'RAW_센터채널성과'!K51</x:f>
        <x:v>0</x:v>
      </x:c>
      <x:c r="L51" s="4" t="n">
        <x:f>IFERROR(F51/E51,0)</x:f>
        <x:v>0.4807692307692308</x:v>
      </x:c>
      <x:c r="M51" s="4" t="n">
        <x:f>IFERROR(G51/F51,0)</x:f>
        <x:v>0.2</x:v>
      </x:c>
      <x:c r="N51" s="4" t="n">
        <x:f>IFERROR(I51/G51,0)</x:f>
        <x:v>0.4</x:v>
      </x:c>
      <x:c r="O51" s="5" t="n">
        <x:f>IFERROR(H51/J51,0)</x:f>
        <x:v>29.642857142857142</x:v>
      </x:c>
    </x:row>
    <x:row r="52">
      <x:c r="A52" t="str">
        <x:f>'RAW_센터채널성과'!A52</x:f>
        <x:v>2026-03</x:v>
      </x:c>
      <x:c r="B52" t="str">
        <x:f>'RAW_센터채널성과'!B52</x:f>
        <x:v>송파센터</x:v>
      </x:c>
      <x:c r="C52" t="str">
        <x:f>'RAW_센터채널성과'!C52</x:f>
        <x:v>고등 입시</x:v>
      </x:c>
      <x:c r="D52" t="str">
        <x:f>'RAW_센터채널성과'!D52</x:f>
        <x:v>카카오채널</x:v>
      </x:c>
      <x:c r="E52" t="n">
        <x:f>'RAW_센터채널성과'!E52</x:f>
        <x:v>53</x:v>
      </x:c>
      <x:c r="F52" t="n">
        <x:f>'RAW_센터채널성과'!F52</x:f>
        <x:v>31</x:v>
      </x:c>
      <x:c r="G52" t="n">
        <x:f>'RAW_센터채널성과'!G52</x:f>
        <x:v>8</x:v>
      </x:c>
      <x:c r="H52" s="3" t="n">
        <x:f>'RAW_센터채널성과'!H52</x:f>
        <x:v>4760000</x:v>
      </x:c>
      <x:c r="I52" s="3" t="n">
        <x:f>'RAW_센터채널성과'!I52</x:f>
        <x:v>0</x:v>
      </x:c>
      <x:c r="J52" s="3" t="n">
        <x:f>'RAW_센터채널성과'!J52</x:f>
        <x:v>100000</x:v>
      </x:c>
      <x:c r="K52" t="n">
        <x:f>'RAW_센터채널성과'!K52</x:f>
        <x:v>0</x:v>
      </x:c>
      <x:c r="L52" s="4" t="n">
        <x:f>IFERROR(F52/E52,0)</x:f>
        <x:v>0.5849056603773585</x:v>
      </x:c>
      <x:c r="M52" s="4" t="n">
        <x:f>IFERROR(G52/F52,0)</x:f>
        <x:v>0.25806451612903225</x:v>
      </x:c>
      <x:c r="N52" s="4" t="n">
        <x:f>IFERROR(I52/G52,0)</x:f>
        <x:v>0</x:v>
      </x:c>
      <x:c r="O52" s="5" t="n">
        <x:f>IFERROR(H52/J52,0)</x:f>
        <x:v>47.6</x:v>
      </x:c>
    </x:row>
    <x:row r="53">
      <x:c r="A53" t="str">
        <x:f>'RAW_센터채널성과'!A53</x:f>
        <x:v>2026-03</x:v>
      </x:c>
      <x:c r="B53" t="str">
        <x:f>'RAW_센터채널성과'!B53</x:f>
        <x:v>송파센터</x:v>
      </x:c>
      <x:c r="C53" t="str">
        <x:f>'RAW_센터채널성과'!C53</x:f>
        <x:v>초등 자기주도</x:v>
      </x:c>
      <x:c r="D53" t="str">
        <x:f>'RAW_센터채널성과'!D53</x:f>
        <x:v>네이버광고</x:v>
      </x:c>
      <x:c r="E53" t="n">
        <x:f>'RAW_센터채널성과'!E53</x:f>
        <x:v>45</x:v>
      </x:c>
      <x:c r="F53" t="n">
        <x:f>'RAW_센터채널성과'!F53</x:f>
        <x:v>19</x:v>
      </x:c>
      <x:c r="G53" t="n">
        <x:f>'RAW_센터채널성과'!G53</x:f>
        <x:v>7</x:v>
      </x:c>
      <x:c r="H53" s="3" t="n">
        <x:f>'RAW_센터채널성과'!H53</x:f>
        <x:v>6580000</x:v>
      </x:c>
      <x:c r="I53" s="3" t="n">
        <x:f>'RAW_센터채널성과'!I53</x:f>
        <x:v>0</x:v>
      </x:c>
      <x:c r="J53" s="3" t="n">
        <x:f>'RAW_센터채널성과'!J53</x:f>
        <x:v>450000</x:v>
      </x:c>
      <x:c r="K53" t="n">
        <x:f>'RAW_센터채널성과'!K53</x:f>
        <x:v>0</x:v>
      </x:c>
      <x:c r="L53" s="4" t="n">
        <x:f>IFERROR(F53/E53,0)</x:f>
        <x:v>0.4222222222222222</x:v>
      </x:c>
      <x:c r="M53" s="4" t="n">
        <x:f>IFERROR(G53/F53,0)</x:f>
        <x:v>0.3684210526315789</x:v>
      </x:c>
      <x:c r="N53" s="4" t="n">
        <x:f>IFERROR(I53/G53,0)</x:f>
        <x:v>0</x:v>
      </x:c>
      <x:c r="O53" s="5" t="n">
        <x:f>IFERROR(H53/J53,0)</x:f>
        <x:v>14.622222222222222</x:v>
      </x:c>
    </x:row>
    <x:row r="54">
      <x:c r="A54" t="str">
        <x:f>'RAW_센터채널성과'!A54</x:f>
        <x:v>2026-03</x:v>
      </x:c>
      <x:c r="B54" t="str">
        <x:f>'RAW_센터채널성과'!B54</x:f>
        <x:v>송파센터</x:v>
      </x:c>
      <x:c r="C54" t="str">
        <x:f>'RAW_센터채널성과'!C54</x:f>
        <x:v>학부모 코칭</x:v>
      </x:c>
      <x:c r="D54" t="str">
        <x:f>'RAW_센터채널성과'!D54</x:f>
        <x:v>지인추천</x:v>
      </x:c>
      <x:c r="E54" t="n">
        <x:f>'RAW_센터채널성과'!E54</x:f>
        <x:v>36</x:v>
      </x:c>
      <x:c r="F54" t="n">
        <x:f>'RAW_센터채널성과'!F54</x:f>
        <x:v>14</x:v>
      </x:c>
      <x:c r="G54" t="n">
        <x:f>'RAW_센터채널성과'!G54</x:f>
        <x:v>7</x:v>
      </x:c>
      <x:c r="H54" s="3" t="n">
        <x:f>'RAW_센터채널성과'!H54</x:f>
        <x:v>3610000</x:v>
      </x:c>
      <x:c r="I54" s="3" t="n">
        <x:f>'RAW_센터채널성과'!I54</x:f>
        <x:v>0</x:v>
      </x:c>
      <x:c r="J54" s="3" t="n">
        <x:f>'RAW_센터채널성과'!J54</x:f>
        <x:v>70000</x:v>
      </x:c>
      <x:c r="K54" t="n">
        <x:f>'RAW_센터채널성과'!K54</x:f>
        <x:v>0</x:v>
      </x:c>
      <x:c r="L54" s="4" t="n">
        <x:f>IFERROR(F54/E54,0)</x:f>
        <x:v>0.3888888888888889</x:v>
      </x:c>
      <x:c r="M54" s="4" t="n">
        <x:f>IFERROR(G54/F54,0)</x:f>
        <x:v>0.5</x:v>
      </x:c>
      <x:c r="N54" s="4" t="n">
        <x:f>IFERROR(I54/G54,0)</x:f>
        <x:v>0</x:v>
      </x:c>
      <x:c r="O54" s="5" t="n">
        <x:f>IFERROR(H54/J54,0)</x:f>
        <x:v>51.57142857142857</x:v>
      </x:c>
    </x:row>
    <x:row r="55">
      <x:c r="A55" t="str">
        <x:f>'RAW_센터채널성과'!A55</x:f>
        <x:v>2026-03</x:v>
      </x:c>
      <x:c r="B55" t="str">
        <x:f>'RAW_센터채널성과'!B55</x:f>
        <x:v>송파센터</x:v>
      </x:c>
      <x:c r="C55" t="str">
        <x:f>'RAW_센터채널성과'!C55</x:f>
        <x:v>중등 내신</x:v>
      </x:c>
      <x:c r="D55" t="str">
        <x:f>'RAW_센터채널성과'!D55</x:f>
        <x:v>설명회</x:v>
      </x:c>
      <x:c r="E55" t="n">
        <x:f>'RAW_센터채널성과'!E55</x:f>
        <x:v>78</x:v>
      </x:c>
      <x:c r="F55" t="n">
        <x:f>'RAW_센터채널성과'!F55</x:f>
        <x:v>50</x:v>
      </x:c>
      <x:c r="G55" t="n">
        <x:f>'RAW_센터채널성과'!G55</x:f>
        <x:v>13</x:v>
      </x:c>
      <x:c r="H55" s="3" t="n">
        <x:f>'RAW_센터채널성과'!H55</x:f>
        <x:v>10080000</x:v>
      </x:c>
      <x:c r="I55" s="3" t="n">
        <x:f>'RAW_센터채널성과'!I55</x:f>
        <x:v>0</x:v>
      </x:c>
      <x:c r="J55" s="3" t="n">
        <x:f>'RAW_센터채널성과'!J55</x:f>
        <x:v>180000</x:v>
      </x:c>
      <x:c r="K55" t="n">
        <x:f>'RAW_센터채널성과'!K55</x:f>
        <x:v>0</x:v>
      </x:c>
      <x:c r="L55" s="4" t="n">
        <x:f>IFERROR(F55/E55,0)</x:f>
        <x:v>0.6410256410256411</x:v>
      </x:c>
      <x:c r="M55" s="4" t="n">
        <x:f>IFERROR(G55/F55,0)</x:f>
        <x:v>0.26</x:v>
      </x:c>
      <x:c r="N55" s="4" t="n">
        <x:f>IFERROR(I55/G55,0)</x:f>
        <x:v>0</x:v>
      </x:c>
      <x:c r="O55" s="5" t="n">
        <x:f>IFERROR(H55/J55,0)</x:f>
        <x:v>56</x:v>
      </x:c>
    </x:row>
    <x:row r="56">
      <x:c r="A56" t="str">
        <x:f>'RAW_센터채널성과'!A56</x:f>
        <x:v>2026-03</x:v>
      </x:c>
      <x:c r="B56" t="str">
        <x:f>'RAW_센터채널성과'!B56</x:f>
        <x:v>목동센터</x:v>
      </x:c>
      <x:c r="C56" t="str">
        <x:f>'RAW_센터채널성과'!C56</x:f>
        <x:v>AI 학습관리</x:v>
      </x:c>
      <x:c r="D56" t="str">
        <x:f>'RAW_센터채널성과'!D56</x:f>
        <x:v>홈페이지</x:v>
      </x:c>
      <x:c r="E56" t="n">
        <x:f>'RAW_센터채널성과'!E56</x:f>
        <x:v>62</x:v>
      </x:c>
      <x:c r="F56" t="n">
        <x:f>'RAW_센터채널성과'!F56</x:f>
        <x:v>39</x:v>
      </x:c>
      <x:c r="G56" t="n">
        <x:f>'RAW_센터채널성과'!G56</x:f>
        <x:v>7</x:v>
      </x:c>
      <x:c r="H56" s="3" t="n">
        <x:f>'RAW_센터채널성과'!H56</x:f>
        <x:v>3870000</x:v>
      </x:c>
      <x:c r="I56" s="3" t="n">
        <x:f>'RAW_센터채널성과'!I56</x:f>
        <x:v>0</x:v>
      </x:c>
      <x:c r="J56" s="3" t="n">
        <x:f>'RAW_센터채널성과'!J56</x:f>
        <x:v>120000</x:v>
      </x:c>
      <x:c r="K56" t="n">
        <x:f>'RAW_센터채널성과'!K56</x:f>
        <x:v>0</x:v>
      </x:c>
      <x:c r="L56" s="4" t="n">
        <x:f>IFERROR(F56/E56,0)</x:f>
        <x:v>0.6290322580645161</x:v>
      </x:c>
      <x:c r="M56" s="4" t="n">
        <x:f>IFERROR(G56/F56,0)</x:f>
        <x:v>0.1794871794871795</x:v>
      </x:c>
      <x:c r="N56" s="4" t="n">
        <x:f>IFERROR(I56/G56,0)</x:f>
        <x:v>0</x:v>
      </x:c>
      <x:c r="O56" s="5" t="n">
        <x:f>IFERROR(H56/J56,0)</x:f>
        <x:v>32.25</x:v>
      </x:c>
    </x:row>
    <x:row r="57">
      <x:c r="A57" t="str">
        <x:f>'RAW_센터채널성과'!A57</x:f>
        <x:v>2026-03</x:v>
      </x:c>
      <x:c r="B57" t="str">
        <x:f>'RAW_센터채널성과'!B57</x:f>
        <x:v>목동센터</x:v>
      </x:c>
      <x:c r="C57" t="str">
        <x:f>'RAW_센터채널성과'!C57</x:f>
        <x:v>고등 입시</x:v>
      </x:c>
      <x:c r="D57" t="str">
        <x:f>'RAW_센터채널성과'!D57</x:f>
        <x:v>블로그</x:v>
      </x:c>
      <x:c r="E57" t="n">
        <x:f>'RAW_센터채널성과'!E57</x:f>
        <x:v>43</x:v>
      </x:c>
      <x:c r="F57" t="n">
        <x:f>'RAW_센터채널성과'!F57</x:f>
        <x:v>28</x:v>
      </x:c>
      <x:c r="G57" t="n">
        <x:f>'RAW_센터채널성과'!G57</x:f>
        <x:v>9</x:v>
      </x:c>
      <x:c r="H57" s="3" t="n">
        <x:f>'RAW_센터채널성과'!H57</x:f>
        <x:v>5520000</x:v>
      </x:c>
      <x:c r="I57" s="3" t="n">
        <x:f>'RAW_센터채널성과'!I57</x:f>
        <x:v>0</x:v>
      </x:c>
      <x:c r="J57" s="3" t="n">
        <x:f>'RAW_센터채널성과'!J57</x:f>
        <x:v>70000</x:v>
      </x:c>
      <x:c r="K57" t="n">
        <x:f>'RAW_센터채널성과'!K57</x:f>
        <x:v>0</x:v>
      </x:c>
      <x:c r="L57" s="4" t="n">
        <x:f>IFERROR(F57/E57,0)</x:f>
        <x:v>0.6511627906976745</x:v>
      </x:c>
      <x:c r="M57" s="4" t="n">
        <x:f>IFERROR(G57/F57,0)</x:f>
        <x:v>0.32142857142857145</x:v>
      </x:c>
      <x:c r="N57" s="4" t="n">
        <x:f>IFERROR(I57/G57,0)</x:f>
        <x:v>0</x:v>
      </x:c>
      <x:c r="O57" s="5" t="n">
        <x:f>IFERROR(H57/J57,0)</x:f>
        <x:v>78.85714285714286</x:v>
      </x:c>
    </x:row>
    <x:row r="58">
      <x:c r="A58" t="str">
        <x:f>'RAW_센터채널성과'!A58</x:f>
        <x:v>2026-03</x:v>
      </x:c>
      <x:c r="B58" t="str">
        <x:f>'RAW_센터채널성과'!B58</x:f>
        <x:v>목동센터</x:v>
      </x:c>
      <x:c r="C58" t="str">
        <x:f>'RAW_센터채널성과'!C58</x:f>
        <x:v>초등 자기주도</x:v>
      </x:c>
      <x:c r="D58" t="str">
        <x:f>'RAW_센터채널성과'!D58</x:f>
        <x:v>카카오채널</x:v>
      </x:c>
      <x:c r="E58" t="n">
        <x:f>'RAW_센터채널성과'!E58</x:f>
        <x:v>94</x:v>
      </x:c>
      <x:c r="F58" t="n">
        <x:f>'RAW_센터채널성과'!F58</x:f>
        <x:v>60</x:v>
      </x:c>
      <x:c r="G58" t="n">
        <x:f>'RAW_센터채널성과'!G58</x:f>
        <x:v>18</x:v>
      </x:c>
      <x:c r="H58" s="3" t="n">
        <x:f>'RAW_센터채널성과'!H58</x:f>
        <x:v>9990000</x:v>
      </x:c>
      <x:c r="I58" s="3" t="n">
        <x:f>'RAW_센터채널성과'!I58</x:f>
        <x:v>0</x:v>
      </x:c>
      <x:c r="J58" s="3" t="n">
        <x:f>'RAW_센터채널성과'!J58</x:f>
        <x:v>330000</x:v>
      </x:c>
      <x:c r="K58" t="n">
        <x:f>'RAW_센터채널성과'!K58</x:f>
        <x:v>0</x:v>
      </x:c>
      <x:c r="L58" s="4" t="n">
        <x:f>IFERROR(F58/E58,0)</x:f>
        <x:v>0.6382978723404256</x:v>
      </x:c>
      <x:c r="M58" s="4" t="n">
        <x:f>IFERROR(G58/F58,0)</x:f>
        <x:v>0.3</x:v>
      </x:c>
      <x:c r="N58" s="4" t="n">
        <x:f>IFERROR(I58/G58,0)</x:f>
        <x:v>0</x:v>
      </x:c>
      <x:c r="O58" s="5" t="n">
        <x:f>IFERROR(H58/J58,0)</x:f>
        <x:v>30.272727272727273</x:v>
      </x:c>
    </x:row>
    <x:row r="59">
      <x:c r="A59" t="str">
        <x:f>'RAW_센터채널성과'!A59</x:f>
        <x:v>2026-03</x:v>
      </x:c>
      <x:c r="B59" t="str">
        <x:f>'RAW_센터채널성과'!B59</x:f>
        <x:v>목동센터</x:v>
      </x:c>
      <x:c r="C59" t="str">
        <x:f>'RAW_센터채널성과'!C59</x:f>
        <x:v>학부모 코칭</x:v>
      </x:c>
      <x:c r="D59" t="str">
        <x:f>'RAW_센터채널성과'!D59</x:f>
        <x:v>네이버광고</x:v>
      </x:c>
      <x:c r="E59" t="n">
        <x:f>'RAW_센터채널성과'!E59</x:f>
        <x:v>28</x:v>
      </x:c>
      <x:c r="F59" t="n">
        <x:f>'RAW_센터채널성과'!F59</x:f>
        <x:v>19</x:v>
      </x:c>
      <x:c r="G59" t="n">
        <x:f>'RAW_센터채널성과'!G59</x:f>
        <x:v>6</x:v>
      </x:c>
      <x:c r="H59" s="3" t="n">
        <x:f>'RAW_센터채널성과'!H59</x:f>
        <x:v>4560000</x:v>
      </x:c>
      <x:c r="I59" s="3" t="n">
        <x:f>'RAW_센터채널성과'!I59</x:f>
        <x:v>0</x:v>
      </x:c>
      <x:c r="J59" s="3" t="n">
        <x:f>'RAW_센터채널성과'!J59</x:f>
        <x:v>500000</x:v>
      </x:c>
      <x:c r="K59" t="n">
        <x:f>'RAW_센터채널성과'!K59</x:f>
        <x:v>0</x:v>
      </x:c>
      <x:c r="L59" s="4" t="n">
        <x:f>IFERROR(F59/E59,0)</x:f>
        <x:v>0.6785714285714286</x:v>
      </x:c>
      <x:c r="M59" s="4" t="n">
        <x:f>IFERROR(G59/F59,0)</x:f>
        <x:v>0.3157894736842105</x:v>
      </x:c>
      <x:c r="N59" s="4" t="n">
        <x:f>IFERROR(I59/G59,0)</x:f>
        <x:v>0</x:v>
      </x:c>
      <x:c r="O59" s="5" t="n">
        <x:f>IFERROR(H59/J59,0)</x:f>
        <x:v>9.12</x:v>
      </x:c>
    </x:row>
    <x:row r="60">
      <x:c r="A60" t="str">
        <x:f>'RAW_센터채널성과'!A60</x:f>
        <x:v>2026-03</x:v>
      </x:c>
      <x:c r="B60" t="str">
        <x:f>'RAW_센터채널성과'!B60</x:f>
        <x:v>목동센터</x:v>
      </x:c>
      <x:c r="C60" t="str">
        <x:f>'RAW_센터채널성과'!C60</x:f>
        <x:v>중등 내신</x:v>
      </x:c>
      <x:c r="D60" t="str">
        <x:f>'RAW_센터채널성과'!D60</x:f>
        <x:v>지인추천</x:v>
      </x:c>
      <x:c r="E60" t="n">
        <x:f>'RAW_센터채널성과'!E60</x:f>
        <x:v>55</x:v>
      </x:c>
      <x:c r="F60" t="n">
        <x:f>'RAW_센터채널성과'!F60</x:f>
        <x:v>37</x:v>
      </x:c>
      <x:c r="G60" t="n">
        <x:f>'RAW_센터채널성과'!G60</x:f>
        <x:v>15</x:v>
      </x:c>
      <x:c r="H60" s="3" t="n">
        <x:f>'RAW_센터채널성과'!H60</x:f>
        <x:v>10520000</x:v>
      </x:c>
      <x:c r="I60" s="3" t="n">
        <x:f>'RAW_센터채널성과'!I60</x:f>
        <x:v>0</x:v>
      </x:c>
      <x:c r="J60" s="3" t="n">
        <x:f>'RAW_센터채널성과'!J60</x:f>
        <x:v>110000</x:v>
      </x:c>
      <x:c r="K60" t="str">
        <x:f>'RAW_센터채널성과'!K60</x:f>
        <x:v>설명회 유입 포함</x:v>
      </x:c>
      <x:c r="L60" s="4" t="n">
        <x:f>IFERROR(F60/E60,0)</x:f>
        <x:v>0.6727272727272727</x:v>
      </x:c>
      <x:c r="M60" s="4" t="n">
        <x:f>IFERROR(G60/F60,0)</x:f>
        <x:v>0.40540540540540543</x:v>
      </x:c>
      <x:c r="N60" s="4" t="n">
        <x:f>IFERROR(I60/G60,0)</x:f>
        <x:v>0</x:v>
      </x:c>
      <x:c r="O60" s="5" t="n">
        <x:f>IFERROR(H60/J60,0)</x:f>
        <x:v>95.63636363636364</x:v>
      </x:c>
    </x:row>
    <x:row r="61">
      <x:c r="A61" t="str">
        <x:f>'RAW_센터채널성과'!A61</x:f>
        <x:v>2026-03</x:v>
      </x:c>
      <x:c r="B61" t="str">
        <x:f>'RAW_센터채널성과'!B61</x:f>
        <x:v>목동센터</x:v>
      </x:c>
      <x:c r="C61" t="str">
        <x:f>'RAW_센터채널성과'!C61</x:f>
        <x:v>AI 학습관리</x:v>
      </x:c>
      <x:c r="D61" t="str">
        <x:f>'RAW_센터채널성과'!D61</x:f>
        <x:v>설명회</x:v>
      </x:c>
      <x:c r="E61" t="n">
        <x:f>'RAW_센터채널성과'!E61</x:f>
        <x:v>80</x:v>
      </x:c>
      <x:c r="F61" t="n">
        <x:f>'RAW_센터채널성과'!F61</x:f>
        <x:v>31</x:v>
      </x:c>
      <x:c r="G61" t="n">
        <x:f>'RAW_센터채널성과'!G61</x:f>
        <x:v>13</x:v>
      </x:c>
      <x:c r="H61" s="3" t="n">
        <x:f>'RAW_센터채널성과'!H61</x:f>
        <x:v>7270000</x:v>
      </x:c>
      <x:c r="I61" s="3" t="n">
        <x:f>'RAW_센터채널성과'!I61</x:f>
        <x:v>0</x:v>
      </x:c>
      <x:c r="J61" s="3" t="n">
        <x:f>'RAW_센터채널성과'!J61</x:f>
        <x:v>180000</x:v>
      </x:c>
      <x:c r="K61" t="n">
        <x:f>'RAW_센터채널성과'!K61</x:f>
        <x:v>0</x:v>
      </x:c>
      <x:c r="L61" s="4" t="n">
        <x:f>IFERROR(F61/E61,0)</x:f>
        <x:v>0.3875</x:v>
      </x:c>
      <x:c r="M61" s="4" t="n">
        <x:f>IFERROR(G61/F61,0)</x:f>
        <x:v>0.41935483870967744</x:v>
      </x:c>
      <x:c r="N61" s="4" t="n">
        <x:f>IFERROR(I61/G61,0)</x:f>
        <x:v>0</x:v>
      </x:c>
      <x:c r="O61" s="5" t="n">
        <x:f>IFERROR(H61/J61,0)</x:f>
        <x:v>40.388888888888886</x:v>
      </x:c>
    </x:row>
    <x:row r="62">
      <x:c r="A62" t="str">
        <x:f>'RAW_센터채널성과'!A62</x:f>
        <x:v>2026-03</x:v>
      </x:c>
      <x:c r="B62" t="str">
        <x:f>'RAW_센터채널성과'!B62</x:f>
        <x:v>대전센터</x:v>
      </x:c>
      <x:c r="C62" t="str">
        <x:f>'RAW_센터채널성과'!C62</x:f>
        <x:v>고등 입시</x:v>
      </x:c>
      <x:c r="D62" t="str">
        <x:f>'RAW_센터채널성과'!D62</x:f>
        <x:v>홈페이지</x:v>
      </x:c>
      <x:c r="E62" t="n">
        <x:f>'RAW_센터채널성과'!E62</x:f>
        <x:v>82</x:v>
      </x:c>
      <x:c r="F62" t="n">
        <x:f>'RAW_센터채널성과'!F62</x:f>
        <x:v>37</x:v>
      </x:c>
      <x:c r="G62" t="n">
        <x:f>'RAW_센터채널성과'!G62</x:f>
        <x:v>9</x:v>
      </x:c>
      <x:c r="H62" s="3" t="n">
        <x:f>'RAW_센터채널성과'!H62</x:f>
        <x:v>5150000</x:v>
      </x:c>
      <x:c r="I62" s="3" t="n">
        <x:f>'RAW_센터채널성과'!I62</x:f>
        <x:v>0</x:v>
      </x:c>
      <x:c r="J62" s="3" t="n">
        <x:f>'RAW_센터채널성과'!J62</x:f>
        <x:v>110000</x:v>
      </x:c>
      <x:c r="K62" t="str">
        <x:f>'RAW_센터채널성과'!K62</x:f>
        <x:v>설명회 유입 포함</x:v>
      </x:c>
      <x:c r="L62" s="4" t="n">
        <x:f>IFERROR(F62/E62,0)</x:f>
        <x:v>0.45121951219512196</x:v>
      </x:c>
      <x:c r="M62" s="4" t="n">
        <x:f>IFERROR(G62/F62,0)</x:f>
        <x:v>0.24324324324324326</x:v>
      </x:c>
      <x:c r="N62" s="4" t="n">
        <x:f>IFERROR(I62/G62,0)</x:f>
        <x:v>0</x:v>
      </x:c>
      <x:c r="O62" s="5" t="n">
        <x:f>IFERROR(H62/J62,0)</x:f>
        <x:v>46.81818181818182</x:v>
      </x:c>
    </x:row>
    <x:row r="63">
      <x:c r="A63" t="str">
        <x:f>'RAW_센터채널성과'!A63</x:f>
        <x:v>2026-03</x:v>
      </x:c>
      <x:c r="B63" t="str">
        <x:f>'RAW_센터채널성과'!B63</x:f>
        <x:v>대전센터</x:v>
      </x:c>
      <x:c r="C63" t="str">
        <x:f>'RAW_센터채널성과'!C63</x:f>
        <x:v>초등 자기주도</x:v>
      </x:c>
      <x:c r="D63" t="str">
        <x:f>'RAW_센터채널성과'!D63</x:f>
        <x:v>블로그</x:v>
      </x:c>
      <x:c r="E63" t="n">
        <x:f>'RAW_센터채널성과'!E63</x:f>
        <x:v>55</x:v>
      </x:c>
      <x:c r="F63" t="n">
        <x:f>'RAW_센터채널성과'!F63</x:f>
        <x:v>29</x:v>
      </x:c>
      <x:c r="G63" t="n">
        <x:f>'RAW_센터채널성과'!G63</x:f>
        <x:v>12</x:v>
      </x:c>
      <x:c r="H63" s="3" t="n">
        <x:f>'RAW_센터채널성과'!H63</x:f>
        <x:v>7940000</x:v>
      </x:c>
      <x:c r="I63" s="3" t="n">
        <x:f>'RAW_센터채널성과'!I63</x:f>
        <x:v>0</x:v>
      </x:c>
      <x:c r="J63" s="3" t="n">
        <x:f>'RAW_센터채널성과'!J63</x:f>
        <x:v>130000</x:v>
      </x:c>
      <x:c r="K63" t="n">
        <x:f>'RAW_센터채널성과'!K63</x:f>
        <x:v>0</x:v>
      </x:c>
      <x:c r="L63" s="4" t="n">
        <x:f>IFERROR(F63/E63,0)</x:f>
        <x:v>0.5272727272727272</x:v>
      </x:c>
      <x:c r="M63" s="4" t="n">
        <x:f>IFERROR(G63/F63,0)</x:f>
        <x:v>0.41379310344827586</x:v>
      </x:c>
      <x:c r="N63" s="4" t="n">
        <x:f>IFERROR(I63/G63,0)</x:f>
        <x:v>0</x:v>
      </x:c>
      <x:c r="O63" s="5" t="n">
        <x:f>IFERROR(H63/J63,0)</x:f>
        <x:v>61.07692307692308</x:v>
      </x:c>
    </x:row>
    <x:row r="64">
      <x:c r="A64" t="str">
        <x:f>'RAW_센터채널성과'!A64</x:f>
        <x:v>2026-03</x:v>
      </x:c>
      <x:c r="B64" t="str">
        <x:f>'RAW_센터채널성과'!B64</x:f>
        <x:v>대전센터</x:v>
      </x:c>
      <x:c r="C64" t="str">
        <x:f>'RAW_센터채널성과'!C64</x:f>
        <x:v>학부모 코칭</x:v>
      </x:c>
      <x:c r="D64" t="str">
        <x:f>'RAW_센터채널성과'!D64</x:f>
        <x:v>카카오채널</x:v>
      </x:c>
      <x:c r="E64" t="n">
        <x:f>'RAW_센터채널성과'!E64</x:f>
        <x:v>94</x:v>
      </x:c>
      <x:c r="F64" t="n">
        <x:f>'RAW_센터채널성과'!F64</x:f>
        <x:v>57</x:v>
      </x:c>
      <x:c r="G64" t="n">
        <x:f>'RAW_센터채널성과'!G64</x:f>
        <x:v>25</x:v>
      </x:c>
      <x:c r="H64" s="3" t="n">
        <x:f>'RAW_센터채널성과'!H64</x:f>
        <x:v>21460000</x:v>
      </x:c>
      <x:c r="I64" s="3" t="n">
        <x:f>'RAW_센터채널성과'!I64</x:f>
        <x:v>0</x:v>
      </x:c>
      <x:c r="J64" s="3" t="n">
        <x:f>'RAW_센터채널성과'!J64</x:f>
        <x:v>310000</x:v>
      </x:c>
      <x:c r="K64" t="n">
        <x:f>'RAW_센터채널성과'!K64</x:f>
        <x:v>0</x:v>
      </x:c>
      <x:c r="L64" s="4" t="n">
        <x:f>IFERROR(F64/E64,0)</x:f>
        <x:v>0.6063829787234043</x:v>
      </x:c>
      <x:c r="M64" s="4" t="n">
        <x:f>IFERROR(G64/F64,0)</x:f>
        <x:v>0.43859649122807015</x:v>
      </x:c>
      <x:c r="N64" s="4" t="n">
        <x:f>IFERROR(I64/G64,0)</x:f>
        <x:v>0</x:v>
      </x:c>
      <x:c r="O64" s="5" t="n">
        <x:f>IFERROR(H64/J64,0)</x:f>
        <x:v>69.2258064516129</x:v>
      </x:c>
    </x:row>
    <x:row r="65">
      <x:c r="A65" t="str">
        <x:f>'RAW_센터채널성과'!A65</x:f>
        <x:v>2026-03</x:v>
      </x:c>
      <x:c r="B65" t="str">
        <x:f>'RAW_센터채널성과'!B65</x:f>
        <x:v>대전센터</x:v>
      </x:c>
      <x:c r="C65" t="str">
        <x:f>'RAW_센터채널성과'!C65</x:f>
        <x:v>중등 내신</x:v>
      </x:c>
      <x:c r="D65" t="str">
        <x:f>'RAW_센터채널성과'!D65</x:f>
        <x:v>네이버광고</x:v>
      </x:c>
      <x:c r="E65" t="n">
        <x:f>'RAW_센터채널성과'!E65</x:f>
        <x:v>24</x:v>
      </x:c>
      <x:c r="F65" t="n">
        <x:f>'RAW_센터채널성과'!F65</x:f>
        <x:v>15</x:v>
      </x:c>
      <x:c r="G65" t="n">
        <x:f>'RAW_센터채널성과'!G65</x:f>
        <x:v>6</x:v>
      </x:c>
      <x:c r="H65" s="3" t="n">
        <x:f>'RAW_센터채널성과'!H65</x:f>
        <x:v>3500000</x:v>
      </x:c>
      <x:c r="I65" s="3" t="n">
        <x:f>'RAW_센터채널성과'!I65</x:f>
        <x:v>0</x:v>
      </x:c>
      <x:c r="J65" s="3" t="n">
        <x:f>'RAW_센터채널성과'!J65</x:f>
        <x:v>420000</x:v>
      </x:c>
      <x:c r="K65" t="n">
        <x:f>'RAW_센터채널성과'!K65</x:f>
        <x:v>0</x:v>
      </x:c>
      <x:c r="L65" s="4" t="n">
        <x:f>IFERROR(F65/E65,0)</x:f>
        <x:v>0.625</x:v>
      </x:c>
      <x:c r="M65" s="4" t="n">
        <x:f>IFERROR(G65/F65,0)</x:f>
        <x:v>0.4</x:v>
      </x:c>
      <x:c r="N65" s="4" t="n">
        <x:f>IFERROR(I65/G65,0)</x:f>
        <x:v>0</x:v>
      </x:c>
      <x:c r="O65" s="5" t="n">
        <x:f>IFERROR(H65/J65,0)</x:f>
        <x:v>8.333333333333334</x:v>
      </x:c>
    </x:row>
    <x:row r="66">
      <x:c r="A66" t="str">
        <x:f>'RAW_센터채널성과'!A66</x:f>
        <x:v>2026-03</x:v>
      </x:c>
      <x:c r="B66" t="str">
        <x:f>'RAW_센터채널성과'!B66</x:f>
        <x:v>대전센터</x:v>
      </x:c>
      <x:c r="C66" t="str">
        <x:f>'RAW_센터채널성과'!C66</x:f>
        <x:v>AI 학습관리</x:v>
      </x:c>
      <x:c r="D66" t="str">
        <x:f>'RAW_센터채널성과'!D66</x:f>
        <x:v>지인추천</x:v>
      </x:c>
      <x:c r="E66" t="n">
        <x:f>'RAW_센터채널성과'!E66</x:f>
        <x:v>92</x:v>
      </x:c>
      <x:c r="F66" t="n">
        <x:f>'RAW_센터채널성과'!F66</x:f>
        <x:v>39</x:v>
      </x:c>
      <x:c r="G66" t="n">
        <x:f>'RAW_센터채널성과'!G66</x:f>
        <x:v>11</x:v>
      </x:c>
      <x:c r="H66" s="3" t="n">
        <x:f>'RAW_센터채널성과'!H66</x:f>
        <x:v>10420000</x:v>
      </x:c>
      <x:c r="I66" s="3" t="n">
        <x:f>'RAW_센터채널성과'!I66</x:f>
        <x:v>0</x:v>
      </x:c>
      <x:c r="J66" s="3" t="n">
        <x:f>'RAW_센터채널성과'!J66</x:f>
        <x:v>300000</x:v>
      </x:c>
      <x:c r="K66" t="n">
        <x:f>'RAW_센터채널성과'!K66</x:f>
        <x:v>0</x:v>
      </x:c>
      <x:c r="L66" s="4" t="n">
        <x:f>IFERROR(F66/E66,0)</x:f>
        <x:v>0.42391304347826086</x:v>
      </x:c>
      <x:c r="M66" s="4" t="n">
        <x:f>IFERROR(G66/F66,0)</x:f>
        <x:v>0.28205128205128205</x:v>
      </x:c>
      <x:c r="N66" s="4" t="n">
        <x:f>IFERROR(I66/G66,0)</x:f>
        <x:v>0</x:v>
      </x:c>
      <x:c r="O66" s="5" t="n">
        <x:f>IFERROR(H66/J66,0)</x:f>
        <x:v>34.733333333333334</x:v>
      </x:c>
    </x:row>
    <x:row r="67">
      <x:c r="A67" t="str">
        <x:f>'RAW_센터채널성과'!A67</x:f>
        <x:v>2026-03</x:v>
      </x:c>
      <x:c r="B67" t="str">
        <x:f>'RAW_센터채널성과'!B67</x:f>
        <x:v>대전센터</x:v>
      </x:c>
      <x:c r="C67" t="str">
        <x:f>'RAW_센터채널성과'!C67</x:f>
        <x:v>고등 입시</x:v>
      </x:c>
      <x:c r="D67" t="str">
        <x:f>'RAW_센터채널성과'!D67</x:f>
        <x:v>설명회</x:v>
      </x:c>
      <x:c r="E67" t="n">
        <x:f>'RAW_센터채널성과'!E67</x:f>
        <x:v>90</x:v>
      </x:c>
      <x:c r="F67" t="n">
        <x:f>'RAW_센터채널성과'!F67</x:f>
        <x:v>35</x:v>
      </x:c>
      <x:c r="G67" t="n">
        <x:f>'RAW_센터채널성과'!G67</x:f>
        <x:v>8</x:v>
      </x:c>
      <x:c r="H67" s="3" t="n">
        <x:f>'RAW_센터채널성과'!H67</x:f>
        <x:v>7410000</x:v>
      </x:c>
      <x:c r="I67" s="3" t="n">
        <x:f>'RAW_센터채널성과'!I67</x:f>
        <x:v>1</x:v>
      </x:c>
      <x:c r="J67" s="3" t="n">
        <x:f>'RAW_센터채널성과'!J67</x:f>
        <x:v>320000</x:v>
      </x:c>
      <x:c r="K67" t="n">
        <x:f>'RAW_센터채널성과'!K67</x:f>
        <x:v>0</x:v>
      </x:c>
      <x:c r="L67" s="4" t="n">
        <x:f>IFERROR(F67/E67,0)</x:f>
        <x:v>0.3888888888888889</x:v>
      </x:c>
      <x:c r="M67" s="4" t="n">
        <x:f>IFERROR(G67/F67,0)</x:f>
        <x:v>0.22857142857142856</x:v>
      </x:c>
      <x:c r="N67" s="4" t="n">
        <x:f>IFERROR(I67/G67,0)</x:f>
        <x:v>0.125</x:v>
      </x:c>
      <x:c r="O67" s="5" t="n">
        <x:f>IFERROR(H67/J67,0)</x:f>
        <x:v>23.15625</x:v>
      </x:c>
    </x:row>
    <x:row r="68">
      <x:c r="A68" t="str">
        <x:f>'RAW_센터채널성과'!A68</x:f>
        <x:v>2026-03</x:v>
      </x:c>
      <x:c r="B68" t="str">
        <x:f>'RAW_센터채널성과'!B68</x:f>
        <x:v>부산센터</x:v>
      </x:c>
      <x:c r="C68" t="str">
        <x:f>'RAW_센터채널성과'!C68</x:f>
        <x:v>중등 내신</x:v>
      </x:c>
      <x:c r="D68" t="str">
        <x:f>'RAW_센터채널성과'!D68</x:f>
        <x:v>홈페이지</x:v>
      </x:c>
      <x:c r="E68" t="n">
        <x:f>'RAW_센터채널성과'!E68</x:f>
        <x:v>65</x:v>
      </x:c>
      <x:c r="F68" t="n">
        <x:f>'RAW_센터채널성과'!F68</x:f>
        <x:v>26</x:v>
      </x:c>
      <x:c r="G68" t="n">
        <x:f>'RAW_센터채널성과'!G68</x:f>
        <x:v>7</x:v>
      </x:c>
      <x:c r="H68" s="3" t="n">
        <x:f>'RAW_센터채널성과'!H68</x:f>
        <x:v>6940000</x:v>
      </x:c>
      <x:c r="I68" s="3" t="n">
        <x:f>'RAW_센터채널성과'!I68</x:f>
        <x:v>0</x:v>
      </x:c>
      <x:c r="J68" s="3" t="n">
        <x:f>'RAW_센터채널성과'!J68</x:f>
        <x:v>170000</x:v>
      </x:c>
      <x:c r="K68" t="n">
        <x:f>'RAW_센터채널성과'!K68</x:f>
        <x:v>0</x:v>
      </x:c>
      <x:c r="L68" s="4" t="n">
        <x:f>IFERROR(F68/E68,0)</x:f>
        <x:v>0.4</x:v>
      </x:c>
      <x:c r="M68" s="4" t="n">
        <x:f>IFERROR(G68/F68,0)</x:f>
        <x:v>0.2692307692307692</x:v>
      </x:c>
      <x:c r="N68" s="4" t="n">
        <x:f>IFERROR(I68/G68,0)</x:f>
        <x:v>0</x:v>
      </x:c>
      <x:c r="O68" s="5" t="n">
        <x:f>IFERROR(H68/J68,0)</x:f>
        <x:v>40.8235294117647</x:v>
      </x:c>
    </x:row>
    <x:row r="69">
      <x:c r="A69" t="str">
        <x:f>'RAW_센터채널성과'!A69</x:f>
        <x:v>2026-03</x:v>
      </x:c>
      <x:c r="B69" t="str">
        <x:f>'RAW_센터채널성과'!B69</x:f>
        <x:v>부산센터</x:v>
      </x:c>
      <x:c r="C69" t="str">
        <x:f>'RAW_센터채널성과'!C69</x:f>
        <x:v>AI 학습관리</x:v>
      </x:c>
      <x:c r="D69" t="str">
        <x:f>'RAW_센터채널성과'!D69</x:f>
        <x:v>블로그</x:v>
      </x:c>
      <x:c r="E69" t="n">
        <x:f>'RAW_센터채널성과'!E69</x:f>
        <x:v>58</x:v>
      </x:c>
      <x:c r="F69" t="n">
        <x:f>'RAW_센터채널성과'!F69</x:f>
        <x:v>40</x:v>
      </x:c>
      <x:c r="G69" t="n">
        <x:f>'RAW_센터채널성과'!G69</x:f>
        <x:v>11</x:v>
      </x:c>
      <x:c r="H69" s="3" t="n">
        <x:f>'RAW_센터채널성과'!H69</x:f>
        <x:v>6900000</x:v>
      </x:c>
      <x:c r="I69" s="3" t="n">
        <x:f>'RAW_센터채널성과'!I69</x:f>
        <x:v>0</x:v>
      </x:c>
      <x:c r="J69" s="3" t="n">
        <x:f>'RAW_센터채널성과'!J69</x:f>
        <x:v>160000</x:v>
      </x:c>
      <x:c r="K69" t="n">
        <x:f>'RAW_센터채널성과'!K69</x:f>
        <x:v>0</x:v>
      </x:c>
      <x:c r="L69" s="4" t="n">
        <x:f>IFERROR(F69/E69,0)</x:f>
        <x:v>0.6896551724137931</x:v>
      </x:c>
      <x:c r="M69" s="4" t="n">
        <x:f>IFERROR(G69/F69,0)</x:f>
        <x:v>0.275</x:v>
      </x:c>
      <x:c r="N69" s="4" t="n">
        <x:f>IFERROR(I69/G69,0)</x:f>
        <x:v>0</x:v>
      </x:c>
      <x:c r="O69" s="5" t="n">
        <x:f>IFERROR(H69/J69,0)</x:f>
        <x:v>43.125</x:v>
      </x:c>
    </x:row>
    <x:row r="70">
      <x:c r="A70" t="str">
        <x:f>'RAW_센터채널성과'!A70</x:f>
        <x:v>2026-03</x:v>
      </x:c>
      <x:c r="B70" t="str">
        <x:f>'RAW_센터채널성과'!B70</x:f>
        <x:v>부산센터</x:v>
      </x:c>
      <x:c r="C70" t="str">
        <x:f>'RAW_센터채널성과'!C70</x:f>
        <x:v>고등 입시</x:v>
      </x:c>
      <x:c r="D70" t="str">
        <x:f>'RAW_센터채널성과'!D70</x:f>
        <x:v>카카오채널</x:v>
      </x:c>
      <x:c r="E70" t="n">
        <x:f>'RAW_센터채널성과'!E70</x:f>
        <x:v>68</x:v>
      </x:c>
      <x:c r="F70" t="n">
        <x:f>'RAW_센터채널성과'!F70</x:f>
        <x:v>30</x:v>
      </x:c>
      <x:c r="G70" t="n">
        <x:f>'RAW_센터채널성과'!G70</x:f>
        <x:v>13</x:v>
      </x:c>
      <x:c r="H70" s="3" t="n">
        <x:f>'RAW_센터채널성과'!H70</x:f>
        <x:v>7410000</x:v>
      </x:c>
      <x:c r="I70" s="3" t="n">
        <x:f>'RAW_센터채널성과'!I70</x:f>
        <x:v>0</x:v>
      </x:c>
      <x:c r="J70" s="3" t="n">
        <x:f>'RAW_센터채널성과'!J70</x:f>
        <x:v>130000</x:v>
      </x:c>
      <x:c r="K70" t="n">
        <x:f>'RAW_센터채널성과'!K70</x:f>
        <x:v>0</x:v>
      </x:c>
      <x:c r="L70" s="4" t="n">
        <x:f>IFERROR(F70/E70,0)</x:f>
        <x:v>0.4411764705882353</x:v>
      </x:c>
      <x:c r="M70" s="4" t="n">
        <x:f>IFERROR(G70/F70,0)</x:f>
        <x:v>0.43333333333333335</x:v>
      </x:c>
      <x:c r="N70" s="4" t="n">
        <x:f>IFERROR(I70/G70,0)</x:f>
        <x:v>0</x:v>
      </x:c>
      <x:c r="O70" s="5" t="n">
        <x:f>IFERROR(H70/J70,0)</x:f>
        <x:v>57</x:v>
      </x:c>
    </x:row>
    <x:row r="71">
      <x:c r="A71" t="str">
        <x:f>'RAW_센터채널성과'!A71</x:f>
        <x:v>2026-03</x:v>
      </x:c>
      <x:c r="B71" t="str">
        <x:f>'RAW_센터채널성과'!B71</x:f>
        <x:v>부산센터</x:v>
      </x:c>
      <x:c r="C71" t="str">
        <x:f>'RAW_센터채널성과'!C71</x:f>
        <x:v>초등 자기주도</x:v>
      </x:c>
      <x:c r="D71" t="str">
        <x:f>'RAW_센터채널성과'!D71</x:f>
        <x:v>네이버광고</x:v>
      </x:c>
      <x:c r="E71" t="n">
        <x:f>'RAW_센터채널성과'!E71</x:f>
        <x:v>38</x:v>
      </x:c>
      <x:c r="F71" t="n">
        <x:f>'RAW_센터채널성과'!F71</x:f>
        <x:v>21</x:v>
      </x:c>
      <x:c r="G71" t="n">
        <x:f>'RAW_센터채널성과'!G71</x:f>
        <x:v>10</x:v>
      </x:c>
      <x:c r="H71" s="3" t="n">
        <x:f>'RAW_센터채널성과'!H71</x:f>
        <x:v>5020000</x:v>
      </x:c>
      <x:c r="I71" s="3" t="n">
        <x:f>'RAW_센터채널성과'!I71</x:f>
        <x:v>0</x:v>
      </x:c>
      <x:c r="J71" s="3" t="n">
        <x:f>'RAW_센터채널성과'!J71</x:f>
        <x:v>530000</x:v>
      </x:c>
      <x:c r="K71" t="n">
        <x:f>'RAW_센터채널성과'!K71</x:f>
        <x:v>0</x:v>
      </x:c>
      <x:c r="L71" s="4" t="n">
        <x:f>IFERROR(F71/E71,0)</x:f>
        <x:v>0.5526315789473685</x:v>
      </x:c>
      <x:c r="M71" s="4" t="n">
        <x:f>IFERROR(G71/F71,0)</x:f>
        <x:v>0.47619047619047616</x:v>
      </x:c>
      <x:c r="N71" s="4" t="n">
        <x:f>IFERROR(I71/G71,0)</x:f>
        <x:v>0</x:v>
      </x:c>
      <x:c r="O71" s="5" t="n">
        <x:f>IFERROR(H71/J71,0)</x:f>
        <x:v>9.471698113207546</x:v>
      </x:c>
    </x:row>
    <x:row r="72">
      <x:c r="A72" t="str">
        <x:f>'RAW_센터채널성과'!A72</x:f>
        <x:v>2026-03</x:v>
      </x:c>
      <x:c r="B72" t="str">
        <x:f>'RAW_센터채널성과'!B72</x:f>
        <x:v>부산센터</x:v>
      </x:c>
      <x:c r="C72" t="str">
        <x:f>'RAW_센터채널성과'!C72</x:f>
        <x:v>학부모 코칭</x:v>
      </x:c>
      <x:c r="D72" t="str">
        <x:f>'RAW_센터채널성과'!D72</x:f>
        <x:v>지인추천</x:v>
      </x:c>
      <x:c r="E72" t="n">
        <x:f>'RAW_센터채널성과'!E72</x:f>
        <x:v>58</x:v>
      </x:c>
      <x:c r="F72" t="n">
        <x:f>'RAW_센터채널성과'!F72</x:f>
        <x:v>23</x:v>
      </x:c>
      <x:c r="G72" t="n">
        <x:f>'RAW_센터채널성과'!G72</x:f>
        <x:v>7</x:v>
      </x:c>
      <x:c r="H72" s="3" t="n">
        <x:f>'RAW_센터채널성과'!H72</x:f>
        <x:v>6150000</x:v>
      </x:c>
      <x:c r="I72" s="3" t="n">
        <x:f>'RAW_센터채널성과'!I72</x:f>
        <x:v>0</x:v>
      </x:c>
      <x:c r="J72" s="3" t="n">
        <x:f>'RAW_센터채널성과'!J72</x:f>
        <x:v>180000</x:v>
      </x:c>
      <x:c r="K72" t="n">
        <x:f>'RAW_센터채널성과'!K72</x:f>
        <x:v>0</x:v>
      </x:c>
      <x:c r="L72" s="4" t="n">
        <x:f>IFERROR(F72/E72,0)</x:f>
        <x:v>0.39655172413793105</x:v>
      </x:c>
      <x:c r="M72" s="4" t="n">
        <x:f>IFERROR(G72/F72,0)</x:f>
        <x:v>0.30434782608695654</x:v>
      </x:c>
      <x:c r="N72" s="4" t="n">
        <x:f>IFERROR(I72/G72,0)</x:f>
        <x:v>0</x:v>
      </x:c>
      <x:c r="O72" s="5" t="n">
        <x:f>IFERROR(H72/J72,0)</x:f>
        <x:v>34.166666666666664</x:v>
      </x:c>
    </x:row>
    <x:row r="73">
      <x:c r="A73" t="str">
        <x:f>'RAW_센터채널성과'!A73</x:f>
        <x:v>2026-03</x:v>
      </x:c>
      <x:c r="B73" t="str">
        <x:f>'RAW_센터채널성과'!B73</x:f>
        <x:v>부산센터</x:v>
      </x:c>
      <x:c r="C73" t="str">
        <x:f>'RAW_센터채널성과'!C73</x:f>
        <x:v>중등 내신</x:v>
      </x:c>
      <x:c r="D73" t="str">
        <x:f>'RAW_센터채널성과'!D73</x:f>
        <x:v>설명회</x:v>
      </x:c>
      <x:c r="E73" t="n">
        <x:f>'RAW_센터채널성과'!E73</x:f>
        <x:v>26</x:v>
      </x:c>
      <x:c r="F73" t="n">
        <x:f>'RAW_센터채널성과'!F73</x:f>
        <x:v>15</x:v>
      </x:c>
      <x:c r="G73" t="n">
        <x:f>'RAW_센터채널성과'!G73</x:f>
        <x:v>5</x:v>
      </x:c>
      <x:c r="H73" s="3" t="n">
        <x:f>'RAW_센터채널성과'!H73</x:f>
        <x:v>4290000</x:v>
      </x:c>
      <x:c r="I73" s="3" t="n">
        <x:f>'RAW_센터채널성과'!I73</x:f>
        <x:v>0</x:v>
      </x:c>
      <x:c r="J73" s="3" t="n">
        <x:f>'RAW_센터채널성과'!J73</x:f>
        <x:v>40000</x:v>
      </x:c>
      <x:c r="K73" t="str">
        <x:f>'RAW_센터채널성과'!K73</x:f>
        <x:v>센터명 표기 확인 필요</x:v>
      </x:c>
      <x:c r="L73" s="4" t="n">
        <x:f>IFERROR(F73/E73,0)</x:f>
        <x:v>0.5769230769230769</x:v>
      </x:c>
      <x:c r="M73" s="4" t="n">
        <x:f>IFERROR(G73/F73,0)</x:f>
        <x:v>0.3333333333333333</x:v>
      </x:c>
      <x:c r="N73" s="4" t="n">
        <x:f>IFERROR(I73/G73,0)</x:f>
        <x:v>0</x:v>
      </x:c>
      <x:c r="O73" s="5" t="n">
        <x:f>IFERROR(H73/J73,0)</x:f>
        <x:v>107.25</x:v>
      </x:c>
    </x:row>
    <x:row r="74">
      <x:c r="A74" t="str">
        <x:f>'RAW_센터채널성과'!A74</x:f>
        <x:v>2026-04</x:v>
      </x:c>
      <x:c r="B74" t="str">
        <x:f>'RAW_센터채널성과'!B74</x:f>
        <x:v>강남센터</x:v>
      </x:c>
      <x:c r="C74" t="str">
        <x:f>'RAW_센터채널성과'!C74</x:f>
        <x:v>학부모 코칭</x:v>
      </x:c>
      <x:c r="D74" t="str">
        <x:f>'RAW_센터채널성과'!D74</x:f>
        <x:v>홈페이지</x:v>
      </x:c>
      <x:c r="E74" t="n">
        <x:f>'RAW_센터채널성과'!E74</x:f>
        <x:v>55</x:v>
      </x:c>
      <x:c r="F74" t="n">
        <x:f>'RAW_센터채널성과'!F74</x:f>
        <x:v>22</x:v>
      </x:c>
      <x:c r="G74" t="n">
        <x:f>'RAW_센터채널성과'!G74</x:f>
        <x:v>9</x:v>
      </x:c>
      <x:c r="H74" s="3" t="n">
        <x:f>'RAW_센터채널성과'!H74</x:f>
        <x:v>6230000</x:v>
      </x:c>
      <x:c r="I74" s="3" t="n">
        <x:f>'RAW_센터채널성과'!I74</x:f>
        <x:v>0</x:v>
      </x:c>
      <x:c r="J74" s="3" t="n">
        <x:f>'RAW_센터채널성과'!J74</x:f>
        <x:v>210000</x:v>
      </x:c>
      <x:c r="K74" t="n">
        <x:f>'RAW_센터채널성과'!K74</x:f>
        <x:v>0</x:v>
      </x:c>
      <x:c r="L74" s="4" t="n">
        <x:f>IFERROR(F74/E74,0)</x:f>
        <x:v>0.4</x:v>
      </x:c>
      <x:c r="M74" s="4" t="n">
        <x:f>IFERROR(G74/F74,0)</x:f>
        <x:v>0.4090909090909091</x:v>
      </x:c>
      <x:c r="N74" s="4" t="n">
        <x:f>IFERROR(I74/G74,0)</x:f>
        <x:v>0</x:v>
      </x:c>
      <x:c r="O74" s="5" t="n">
        <x:f>IFERROR(H74/J74,0)</x:f>
        <x:v>29.666666666666668</x:v>
      </x:c>
    </x:row>
    <x:row r="75">
      <x:c r="A75" t="str">
        <x:f>'RAW_센터채널성과'!A75</x:f>
        <x:v>2026-04</x:v>
      </x:c>
      <x:c r="B75" t="str">
        <x:f>'RAW_센터채널성과'!B75</x:f>
        <x:v>강남센터</x:v>
      </x:c>
      <x:c r="C75" t="str">
        <x:f>'RAW_센터채널성과'!C75</x:f>
        <x:v>중등 내신</x:v>
      </x:c>
      <x:c r="D75" t="str">
        <x:f>'RAW_센터채널성과'!D75</x:f>
        <x:v>블로그</x:v>
      </x:c>
      <x:c r="E75" t="n">
        <x:f>'RAW_센터채널성과'!E75</x:f>
        <x:v>29</x:v>
      </x:c>
      <x:c r="F75" t="n">
        <x:f>'RAW_센터채널성과'!F75</x:f>
        <x:v>15</x:v>
      </x:c>
      <x:c r="G75" t="n">
        <x:f>'RAW_센터채널성과'!G75</x:f>
        <x:v>6</x:v>
      </x:c>
      <x:c r="H75" s="3" t="n">
        <x:f>'RAW_센터채널성과'!H75</x:f>
        <x:v>5910000</x:v>
      </x:c>
      <x:c r="I75" s="3" t="n">
        <x:f>'RAW_센터채널성과'!I75</x:f>
        <x:v>0</x:v>
      </x:c>
      <x:c r="J75" s="3" t="n">
        <x:f>'RAW_센터채널성과'!J75</x:f>
        <x:v>110000</x:v>
      </x:c>
      <x:c r="K75" t="n">
        <x:f>'RAW_센터채널성과'!K75</x:f>
        <x:v>0</x:v>
      </x:c>
      <x:c r="L75" s="4" t="n">
        <x:f>IFERROR(F75/E75,0)</x:f>
        <x:v>0.5172413793103449</x:v>
      </x:c>
      <x:c r="M75" s="4" t="n">
        <x:f>IFERROR(G75/F75,0)</x:f>
        <x:v>0.4</x:v>
      </x:c>
      <x:c r="N75" s="4" t="n">
        <x:f>IFERROR(I75/G75,0)</x:f>
        <x:v>0</x:v>
      </x:c>
      <x:c r="O75" s="5" t="n">
        <x:f>IFERROR(H75/J75,0)</x:f>
        <x:v>53.72727272727273</x:v>
      </x:c>
    </x:row>
    <x:row r="76">
      <x:c r="A76" t="str">
        <x:f>'RAW_센터채널성과'!A76</x:f>
        <x:v>2026-04</x:v>
      </x:c>
      <x:c r="B76" t="str">
        <x:f>'RAW_센터채널성과'!B76</x:f>
        <x:v>강남센터</x:v>
      </x:c>
      <x:c r="C76" t="str">
        <x:f>'RAW_센터채널성과'!C76</x:f>
        <x:v>AI 학습관리</x:v>
      </x:c>
      <x:c r="D76" t="str">
        <x:f>'RAW_센터채널성과'!D76</x:f>
        <x:v>카카오채널</x:v>
      </x:c>
      <x:c r="E76" t="n">
        <x:f>'RAW_센터채널성과'!E76</x:f>
        <x:v>77</x:v>
      </x:c>
      <x:c r="F76" t="n">
        <x:f>'RAW_센터채널성과'!F76</x:f>
        <x:v>45</x:v>
      </x:c>
      <x:c r="G76" t="n">
        <x:f>'RAW_센터채널성과'!G76</x:f>
        <x:v>18</x:v>
      </x:c>
      <x:c r="H76" s="3" t="n">
        <x:f>'RAW_센터채널성과'!H76</x:f>
        <x:v>10130000</x:v>
      </x:c>
      <x:c r="I76" s="3" t="n">
        <x:f>'RAW_센터채널성과'!I76</x:f>
        <x:v>0</x:v>
      </x:c>
      <x:c r="J76" s="3" t="n">
        <x:f>'RAW_센터채널성과'!J76</x:f>
        <x:v>120000</x:v>
      </x:c>
      <x:c r="K76" t="n">
        <x:f>'RAW_센터채널성과'!K76</x:f>
        <x:v>0</x:v>
      </x:c>
      <x:c r="L76" s="4" t="n">
        <x:f>IFERROR(F76/E76,0)</x:f>
        <x:v>0.5844155844155844</x:v>
      </x:c>
      <x:c r="M76" s="4" t="n">
        <x:f>IFERROR(G76/F76,0)</x:f>
        <x:v>0.4</x:v>
      </x:c>
      <x:c r="N76" s="4" t="n">
        <x:f>IFERROR(I76/G76,0)</x:f>
        <x:v>0</x:v>
      </x:c>
      <x:c r="O76" s="5" t="n">
        <x:f>IFERROR(H76/J76,0)</x:f>
        <x:v>84.41666666666667</x:v>
      </x:c>
    </x:row>
    <x:row r="77">
      <x:c r="A77" t="str">
        <x:f>'RAW_센터채널성과'!A77</x:f>
        <x:v>2026-04</x:v>
      </x:c>
      <x:c r="B77" t="str">
        <x:f>'RAW_센터채널성과'!B77</x:f>
        <x:v>강남센터</x:v>
      </x:c>
      <x:c r="C77" t="str">
        <x:f>'RAW_센터채널성과'!C77</x:f>
        <x:v>고등 입시</x:v>
      </x:c>
      <x:c r="D77" t="str">
        <x:f>'RAW_센터채널성과'!D77</x:f>
        <x:v>네이버광고</x:v>
      </x:c>
      <x:c r="E77" t="n">
        <x:f>'RAW_센터채널성과'!E77</x:f>
        <x:v>34</x:v>
      </x:c>
      <x:c r="F77" t="n">
        <x:f>'RAW_센터채널성과'!F77</x:f>
        <x:v>22</x:v>
      </x:c>
      <x:c r="G77" t="n">
        <x:f>'RAW_센터채널성과'!G77</x:f>
        <x:v>9</x:v>
      </x:c>
      <x:c r="H77" s="3" t="n">
        <x:f>'RAW_센터채널성과'!H77</x:f>
        <x:v>7300000</x:v>
      </x:c>
      <x:c r="I77" s="3" t="n">
        <x:f>'RAW_센터채널성과'!I77</x:f>
        <x:v>0</x:v>
      </x:c>
      <x:c r="J77" s="3" t="n">
        <x:f>'RAW_센터채널성과'!J77</x:f>
        <x:v>340000</x:v>
      </x:c>
      <x:c r="K77" t="n">
        <x:f>'RAW_센터채널성과'!K77</x:f>
        <x:v>0</x:v>
      </x:c>
      <x:c r="L77" s="4" t="n">
        <x:f>IFERROR(F77/E77,0)</x:f>
        <x:v>0.6470588235294118</x:v>
      </x:c>
      <x:c r="M77" s="4" t="n">
        <x:f>IFERROR(G77/F77,0)</x:f>
        <x:v>0.4090909090909091</x:v>
      </x:c>
      <x:c r="N77" s="4" t="n">
        <x:f>IFERROR(I77/G77,0)</x:f>
        <x:v>0</x:v>
      </x:c>
      <x:c r="O77" s="5" t="n">
        <x:f>IFERROR(H77/J77,0)</x:f>
        <x:v>21.470588235294116</x:v>
      </x:c>
    </x:row>
    <x:row r="78">
      <x:c r="A78" t="str">
        <x:f>'RAW_센터채널성과'!A78</x:f>
        <x:v>2026-04</x:v>
      </x:c>
      <x:c r="B78" t="str">
        <x:f>'RAW_센터채널성과'!B78</x:f>
        <x:v>강남센터</x:v>
      </x:c>
      <x:c r="C78" t="str">
        <x:f>'RAW_센터채널성과'!C78</x:f>
        <x:v>초등 자기주도</x:v>
      </x:c>
      <x:c r="D78" t="str">
        <x:f>'RAW_센터채널성과'!D78</x:f>
        <x:v>지인추천</x:v>
      </x:c>
      <x:c r="E78" t="n">
        <x:f>'RAW_센터채널성과'!E78</x:f>
        <x:v>52</x:v>
      </x:c>
      <x:c r="F78" t="n">
        <x:f>'RAW_센터채널성과'!F78</x:f>
        <x:v>33</x:v>
      </x:c>
      <x:c r="G78" t="n">
        <x:f>'RAW_센터채널성과'!G78</x:f>
        <x:v>7</x:v>
      </x:c>
      <x:c r="H78" s="3" t="n">
        <x:f>'RAW_센터채널성과'!H78</x:f>
        <x:v>4670000</x:v>
      </x:c>
      <x:c r="I78" s="3" t="n">
        <x:f>'RAW_센터채널성과'!I78</x:f>
        <x:v>0</x:v>
      </x:c>
      <x:c r="J78" s="3" t="n">
        <x:f>'RAW_센터채널성과'!J78</x:f>
        <x:v>160000</x:v>
      </x:c>
      <x:c r="K78" t="n">
        <x:f>'RAW_센터채널성과'!K78</x:f>
        <x:v>0</x:v>
      </x:c>
      <x:c r="L78" s="4" t="n">
        <x:f>IFERROR(F78/E78,0)</x:f>
        <x:v>0.6346153846153846</x:v>
      </x:c>
      <x:c r="M78" s="4" t="n">
        <x:f>IFERROR(G78/F78,0)</x:f>
        <x:v>0.21212121212121213</x:v>
      </x:c>
      <x:c r="N78" s="4" t="n">
        <x:f>IFERROR(I78/G78,0)</x:f>
        <x:v>0</x:v>
      </x:c>
      <x:c r="O78" s="5" t="n">
        <x:f>IFERROR(H78/J78,0)</x:f>
        <x:v>29.1875</x:v>
      </x:c>
    </x:row>
    <x:row r="79">
      <x:c r="A79" t="str">
        <x:f>'RAW_센터채널성과'!A79</x:f>
        <x:v>2026-04</x:v>
      </x:c>
      <x:c r="B79" t="str">
        <x:f>'RAW_센터채널성과'!B79</x:f>
        <x:v>강남센터</x:v>
      </x:c>
      <x:c r="C79" t="str">
        <x:f>'RAW_센터채널성과'!C79</x:f>
        <x:v>학부모 코칭</x:v>
      </x:c>
      <x:c r="D79" t="str">
        <x:f>'RAW_센터채널성과'!D79</x:f>
        <x:v>설명회</x:v>
      </x:c>
      <x:c r="E79" t="n">
        <x:f>'RAW_센터채널성과'!E79</x:f>
        <x:v>60</x:v>
      </x:c>
      <x:c r="F79" t="n">
        <x:f>'RAW_센터채널성과'!F79</x:f>
        <x:v>37</x:v>
      </x:c>
      <x:c r="G79" t="n">
        <x:f>'RAW_센터채널성과'!G79</x:f>
        <x:v>13</x:v>
      </x:c>
      <x:c r="H79" s="3" t="n">
        <x:f>'RAW_센터채널성과'!H79</x:f>
        <x:v>10510000</x:v>
      </x:c>
      <x:c r="I79" s="3" t="n">
        <x:f>'RAW_센터채널성과'!I79</x:f>
        <x:v>0</x:v>
      </x:c>
      <x:c r="J79" s="3" t="n">
        <x:f>'RAW_센터채널성과'!J79</x:f>
        <x:v>130000</x:v>
      </x:c>
      <x:c r="K79" t="str">
        <x:f>'RAW_센터채널성과'!K79</x:f>
        <x:v>센터명 표기 확인 필요</x:v>
      </x:c>
      <x:c r="L79" s="4" t="n">
        <x:f>IFERROR(F79/E79,0)</x:f>
        <x:v>0.6166666666666667</x:v>
      </x:c>
      <x:c r="M79" s="4" t="n">
        <x:f>IFERROR(G79/F79,0)</x:f>
        <x:v>0.35135135135135137</x:v>
      </x:c>
      <x:c r="N79" s="4" t="n">
        <x:f>IFERROR(I79/G79,0)</x:f>
        <x:v>0</x:v>
      </x:c>
      <x:c r="O79" s="5" t="n">
        <x:f>IFERROR(H79/J79,0)</x:f>
        <x:v>80.84615384615384</x:v>
      </x:c>
    </x:row>
    <x:row r="80">
      <x:c r="A80" t="str">
        <x:f>'RAW_센터채널성과'!A80</x:f>
        <x:v>2026-04</x:v>
      </x:c>
      <x:c r="B80" t="str">
        <x:f>'RAW_센터채널성과'!B80</x:f>
        <x:v>분당센터</x:v>
      </x:c>
      <x:c r="C80" t="str">
        <x:f>'RAW_센터채널성과'!C80</x:f>
        <x:v>중등 내신</x:v>
      </x:c>
      <x:c r="D80" t="str">
        <x:f>'RAW_센터채널성과'!D80</x:f>
        <x:v>홈페이지</x:v>
      </x:c>
      <x:c r="E80" t="n">
        <x:f>'RAW_센터채널성과'!E80</x:f>
        <x:v>81</x:v>
      </x:c>
      <x:c r="F80" t="n">
        <x:f>'RAW_센터채널성과'!F80</x:f>
        <x:v>43</x:v>
      </x:c>
      <x:c r="G80" t="n">
        <x:f>'RAW_센터채널성과'!G80</x:f>
        <x:v>17</x:v>
      </x:c>
      <x:c r="H80" s="3" t="n">
        <x:f>'RAW_센터채널성과'!H80</x:f>
        <x:v>14930000</x:v>
      </x:c>
      <x:c r="I80" s="3" t="n">
        <x:f>'RAW_센터채널성과'!I80</x:f>
        <x:v>0</x:v>
      </x:c>
      <x:c r="J80" s="3" t="n">
        <x:f>'RAW_센터채널성과'!J80</x:f>
        <x:v>270000</x:v>
      </x:c>
      <x:c r="K80" t="n">
        <x:f>'RAW_센터채널성과'!K80</x:f>
        <x:v>0</x:v>
      </x:c>
      <x:c r="L80" s="4" t="n">
        <x:f>IFERROR(F80/E80,0)</x:f>
        <x:v>0.5308641975308642</x:v>
      </x:c>
      <x:c r="M80" s="4" t="n">
        <x:f>IFERROR(G80/F80,0)</x:f>
        <x:v>0.3953488372093023</x:v>
      </x:c>
      <x:c r="N80" s="4" t="n">
        <x:f>IFERROR(I80/G80,0)</x:f>
        <x:v>0</x:v>
      </x:c>
      <x:c r="O80" s="5" t="n">
        <x:f>IFERROR(H80/J80,0)</x:f>
        <x:v>55.2962962962963</x:v>
      </x:c>
    </x:row>
    <x:row r="81">
      <x:c r="A81" t="str">
        <x:f>'RAW_센터채널성과'!A81</x:f>
        <x:v>2026-04</x:v>
      </x:c>
      <x:c r="B81" t="str">
        <x:f>'RAW_센터채널성과'!B81</x:f>
        <x:v>분당센터</x:v>
      </x:c>
      <x:c r="C81" t="str">
        <x:f>'RAW_센터채널성과'!C81</x:f>
        <x:v>AI 학습관리</x:v>
      </x:c>
      <x:c r="D81" t="str">
        <x:f>'RAW_센터채널성과'!D81</x:f>
        <x:v>블로그</x:v>
      </x:c>
      <x:c r="E81" t="n">
        <x:f>'RAW_센터채널성과'!E81</x:f>
        <x:v>40</x:v>
      </x:c>
      <x:c r="F81" t="n">
        <x:f>'RAW_센터채널성과'!F81</x:f>
        <x:v>26</x:v>
      </x:c>
      <x:c r="G81" t="n">
        <x:f>'RAW_센터채널성과'!G81</x:f>
        <x:v>11</x:v>
      </x:c>
      <x:c r="H81" s="3" t="n">
        <x:f>'RAW_센터채널성과'!H81</x:f>
        <x:v>10310000</x:v>
      </x:c>
      <x:c r="I81" s="3" t="n">
        <x:f>'RAW_센터채널성과'!I81</x:f>
        <x:v>0</x:v>
      </x:c>
      <x:c r="J81" s="3" t="n">
        <x:f>'RAW_센터채널성과'!J81</x:f>
        <x:v>100000</x:v>
      </x:c>
      <x:c r="K81" t="n">
        <x:f>'RAW_센터채널성과'!K81</x:f>
        <x:v>0</x:v>
      </x:c>
      <x:c r="L81" s="4" t="n">
        <x:f>IFERROR(F81/E81,0)</x:f>
        <x:v>0.65</x:v>
      </x:c>
      <x:c r="M81" s="4" t="n">
        <x:f>IFERROR(G81/F81,0)</x:f>
        <x:v>0.4230769230769231</x:v>
      </x:c>
      <x:c r="N81" s="4" t="n">
        <x:f>IFERROR(I81/G81,0)</x:f>
        <x:v>0</x:v>
      </x:c>
      <x:c r="O81" s="5" t="n">
        <x:f>IFERROR(H81/J81,0)</x:f>
        <x:v>103.1</x:v>
      </x:c>
    </x:row>
    <x:row r="82">
      <x:c r="A82" t="str">
        <x:f>'RAW_센터채널성과'!A82</x:f>
        <x:v>2026-04</x:v>
      </x:c>
      <x:c r="B82" t="str">
        <x:f>'RAW_센터채널성과'!B82</x:f>
        <x:v>분당센터</x:v>
      </x:c>
      <x:c r="C82" t="str">
        <x:f>'RAW_센터채널성과'!C82</x:f>
        <x:v>고등 입시</x:v>
      </x:c>
      <x:c r="D82" t="str">
        <x:f>'RAW_센터채널성과'!D82</x:f>
        <x:v>카카오채널</x:v>
      </x:c>
      <x:c r="E82" t="n">
        <x:f>'RAW_센터채널성과'!E82</x:f>
        <x:v>89</x:v>
      </x:c>
      <x:c r="F82" t="n">
        <x:f>'RAW_센터채널성과'!F82</x:f>
        <x:v>45</x:v>
      </x:c>
      <x:c r="G82" t="n">
        <x:f>'RAW_센터채널성과'!G82</x:f>
        <x:v>18</x:v>
      </x:c>
      <x:c r="H82" s="3" t="n">
        <x:f>'RAW_센터채널성과'!H82</x:f>
        <x:v>14590000</x:v>
      </x:c>
      <x:c r="I82" s="3" t="n">
        <x:f>'RAW_센터채널성과'!I82</x:f>
        <x:v>0</x:v>
      </x:c>
      <x:c r="J82" s="3" t="n">
        <x:f>'RAW_센터채널성과'!J82</x:f>
        <x:v>290000</x:v>
      </x:c>
      <x:c r="K82" t="n">
        <x:f>'RAW_센터채널성과'!K82</x:f>
        <x:v>0</x:v>
      </x:c>
      <x:c r="L82" s="4" t="n">
        <x:f>IFERROR(F82/E82,0)</x:f>
        <x:v>0.5056179775280899</x:v>
      </x:c>
      <x:c r="M82" s="4" t="n">
        <x:f>IFERROR(G82/F82,0)</x:f>
        <x:v>0.4</x:v>
      </x:c>
      <x:c r="N82" s="4" t="n">
        <x:f>IFERROR(I82/G82,0)</x:f>
        <x:v>0</x:v>
      </x:c>
      <x:c r="O82" s="5" t="n">
        <x:f>IFERROR(H82/J82,0)</x:f>
        <x:v>50.310344827586206</x:v>
      </x:c>
    </x:row>
    <x:row r="83">
      <x:c r="A83" t="str">
        <x:f>'RAW_센터채널성과'!A83</x:f>
        <x:v>2026-04</x:v>
      </x:c>
      <x:c r="B83" t="str">
        <x:f>'RAW_센터채널성과'!B83</x:f>
        <x:v>분당센터</x:v>
      </x:c>
      <x:c r="C83" t="str">
        <x:f>'RAW_센터채널성과'!C83</x:f>
        <x:v>초등 자기주도</x:v>
      </x:c>
      <x:c r="D83" t="str">
        <x:f>'RAW_센터채널성과'!D83</x:f>
        <x:v>네이버광고</x:v>
      </x:c>
      <x:c r="E83" t="n">
        <x:f>'RAW_센터채널성과'!E83</x:f>
        <x:v>69</x:v>
      </x:c>
      <x:c r="F83" t="n">
        <x:f>'RAW_센터채널성과'!F83</x:f>
        <x:v>35</x:v>
      </x:c>
      <x:c r="G83" t="n">
        <x:f>'RAW_센터채널성과'!G83</x:f>
        <x:v>9</x:v>
      </x:c>
      <x:c r="H83" s="3" t="n">
        <x:f>'RAW_센터채널성과'!H83</x:f>
        <x:v>5310000</x:v>
      </x:c>
      <x:c r="I83" s="3" t="n">
        <x:f>'RAW_센터채널성과'!I83</x:f>
        <x:v>0</x:v>
      </x:c>
      <x:c r="J83" s="3" t="n">
        <x:f>'RAW_센터채널성과'!J83</x:f>
        <x:v>790000</x:v>
      </x:c>
      <x:c r="K83" t="str">
        <x:f>'RAW_센터채널성과'!K83</x:f>
        <x:v>설명회 유입 포함</x:v>
      </x:c>
      <x:c r="L83" s="4" t="n">
        <x:f>IFERROR(F83/E83,0)</x:f>
        <x:v>0.5072463768115942</x:v>
      </x:c>
      <x:c r="M83" s="4" t="n">
        <x:f>IFERROR(G83/F83,0)</x:f>
        <x:v>0.2571428571428571</x:v>
      </x:c>
      <x:c r="N83" s="4" t="n">
        <x:f>IFERROR(I83/G83,0)</x:f>
        <x:v>0</x:v>
      </x:c>
      <x:c r="O83" s="5" t="n">
        <x:f>IFERROR(H83/J83,0)</x:f>
        <x:v>6.7215189873417724</x:v>
      </x:c>
    </x:row>
    <x:row r="84">
      <x:c r="A84" t="str">
        <x:f>'RAW_센터채널성과'!A84</x:f>
        <x:v>2026-04</x:v>
      </x:c>
      <x:c r="B84" t="str">
        <x:f>'RAW_센터채널성과'!B84</x:f>
        <x:v>분당센터</x:v>
      </x:c>
      <x:c r="C84" t="str">
        <x:f>'RAW_센터채널성과'!C84</x:f>
        <x:v>학부모 코칭</x:v>
      </x:c>
      <x:c r="D84" t="str">
        <x:f>'RAW_센터채널성과'!D84</x:f>
        <x:v>지인추천</x:v>
      </x:c>
      <x:c r="E84" t="n">
        <x:f>'RAW_센터채널성과'!E84</x:f>
        <x:v>86</x:v>
      </x:c>
      <x:c r="F84" t="n">
        <x:f>'RAW_센터채널성과'!F84</x:f>
        <x:v>56</x:v>
      </x:c>
      <x:c r="G84" t="n">
        <x:f>'RAW_센터채널성과'!G84</x:f>
        <x:v>14</x:v>
      </x:c>
      <x:c r="H84" s="3" t="n">
        <x:f>'RAW_센터채널성과'!H84</x:f>
        <x:v>11480000</x:v>
      </x:c>
      <x:c r="I84" s="3" t="n">
        <x:f>'RAW_센터채널성과'!I84</x:f>
        <x:v>0</x:v>
      </x:c>
      <x:c r="J84" s="3" t="n">
        <x:f>'RAW_센터채널성과'!J84</x:f>
        <x:v>280000</x:v>
      </x:c>
      <x:c r="K84" t="n">
        <x:f>'RAW_센터채널성과'!K84</x:f>
        <x:v>0</x:v>
      </x:c>
      <x:c r="L84" s="4" t="n">
        <x:f>IFERROR(F84/E84,0)</x:f>
        <x:v>0.6511627906976745</x:v>
      </x:c>
      <x:c r="M84" s="4" t="n">
        <x:f>IFERROR(G84/F84,0)</x:f>
        <x:v>0.25</x:v>
      </x:c>
      <x:c r="N84" s="4" t="n">
        <x:f>IFERROR(I84/G84,0)</x:f>
        <x:v>0</x:v>
      </x:c>
      <x:c r="O84" s="5" t="n">
        <x:f>IFERROR(H84/J84,0)</x:f>
        <x:v>41</x:v>
      </x:c>
    </x:row>
    <x:row r="85">
      <x:c r="A85" t="str">
        <x:f>'RAW_센터채널성과'!A85</x:f>
        <x:v>2026-04</x:v>
      </x:c>
      <x:c r="B85" t="str">
        <x:f>'RAW_센터채널성과'!B85</x:f>
        <x:v>분당센터</x:v>
      </x:c>
      <x:c r="C85" t="str">
        <x:f>'RAW_센터채널성과'!C85</x:f>
        <x:v>중등 내신</x:v>
      </x:c>
      <x:c r="D85" t="str">
        <x:f>'RAW_센터채널성과'!D85</x:f>
        <x:v>설명회</x:v>
      </x:c>
      <x:c r="E85" t="n">
        <x:f>'RAW_센터채널성과'!E85</x:f>
        <x:v>38</x:v>
      </x:c>
      <x:c r="F85" t="n">
        <x:f>'RAW_센터채널성과'!F85</x:f>
        <x:v>16</x:v>
      </x:c>
      <x:c r="G85" t="n">
        <x:f>'RAW_센터채널성과'!G85</x:f>
        <x:v>5</x:v>
      </x:c>
      <x:c r="H85" s="3" t="n">
        <x:f>'RAW_센터채널성과'!H85</x:f>
        <x:v>3350000</x:v>
      </x:c>
      <x:c r="I85" s="3" t="n">
        <x:f>'RAW_센터채널성과'!I85</x:f>
        <x:v>0</x:v>
      </x:c>
      <x:c r="J85" s="3" t="n">
        <x:f>'RAW_센터채널성과'!J85</x:f>
        <x:v>130000</x:v>
      </x:c>
      <x:c r="K85" t="n">
        <x:f>'RAW_센터채널성과'!K85</x:f>
        <x:v>0</x:v>
      </x:c>
      <x:c r="L85" s="4" t="n">
        <x:f>IFERROR(F85/E85,0)</x:f>
        <x:v>0.42105263157894735</x:v>
      </x:c>
      <x:c r="M85" s="4" t="n">
        <x:f>IFERROR(G85/F85,0)</x:f>
        <x:v>0.3125</x:v>
      </x:c>
      <x:c r="N85" s="4" t="n">
        <x:f>IFERROR(I85/G85,0)</x:f>
        <x:v>0</x:v>
      </x:c>
      <x:c r="O85" s="5" t="n">
        <x:f>IFERROR(H85/J85,0)</x:f>
        <x:v>25.76923076923077</x:v>
      </x:c>
    </x:row>
    <x:row r="86">
      <x:c r="A86" t="str">
        <x:f>'RAW_센터채널성과'!A86</x:f>
        <x:v>2026-04</x:v>
      </x:c>
      <x:c r="B86" t="str">
        <x:f>'RAW_센터채널성과'!B86</x:f>
        <x:v>송파센터</x:v>
      </x:c>
      <x:c r="C86" t="str">
        <x:f>'RAW_센터채널성과'!C86</x:f>
        <x:v>AI 학습관리</x:v>
      </x:c>
      <x:c r="D86" t="str">
        <x:f>'RAW_센터채널성과'!D86</x:f>
        <x:v>홈페이지</x:v>
      </x:c>
      <x:c r="E86" t="n">
        <x:f>'RAW_센터채널성과'!E86</x:f>
        <x:v>25</x:v>
      </x:c>
      <x:c r="F86" t="n">
        <x:f>'RAW_센터채널성과'!F86</x:f>
        <x:v>12</x:v>
      </x:c>
      <x:c r="G86" t="n">
        <x:f>'RAW_센터채널성과'!G86</x:f>
        <x:v>4</x:v>
      </x:c>
      <x:c r="H86" s="3" t="n">
        <x:f>'RAW_센터채널성과'!H86</x:f>
        <x:v>3510000</x:v>
      </x:c>
      <x:c r="I86" s="3" t="n">
        <x:f>'RAW_센터채널성과'!I86</x:f>
        <x:v>0</x:v>
      </x:c>
      <x:c r="J86" s="3" t="n">
        <x:f>'RAW_센터채널성과'!J86</x:f>
        <x:v>70000</x:v>
      </x:c>
      <x:c r="K86" t="n">
        <x:f>'RAW_센터채널성과'!K86</x:f>
        <x:v>0</x:v>
      </x:c>
      <x:c r="L86" s="4" t="n">
        <x:f>IFERROR(F86/E86,0)</x:f>
        <x:v>0.48</x:v>
      </x:c>
      <x:c r="M86" s="4" t="n">
        <x:f>IFERROR(G86/F86,0)</x:f>
        <x:v>0.3333333333333333</x:v>
      </x:c>
      <x:c r="N86" s="4" t="n">
        <x:f>IFERROR(I86/G86,0)</x:f>
        <x:v>0</x:v>
      </x:c>
      <x:c r="O86" s="5" t="n">
        <x:f>IFERROR(H86/J86,0)</x:f>
        <x:v>50.142857142857146</x:v>
      </x:c>
    </x:row>
    <x:row r="87">
      <x:c r="A87" t="str">
        <x:f>'RAW_센터채널성과'!A87</x:f>
        <x:v>2026-04</x:v>
      </x:c>
      <x:c r="B87" t="str">
        <x:f>'RAW_센터채널성과'!B87</x:f>
        <x:v>송파센터</x:v>
      </x:c>
      <x:c r="C87" t="str">
        <x:f>'RAW_센터채널성과'!C87</x:f>
        <x:v>고등 입시</x:v>
      </x:c>
      <x:c r="D87" t="str">
        <x:f>'RAW_센터채널성과'!D87</x:f>
        <x:v>블로그</x:v>
      </x:c>
      <x:c r="E87" t="n">
        <x:f>'RAW_센터채널성과'!E87</x:f>
        <x:v>52</x:v>
      </x:c>
      <x:c r="F87" t="n">
        <x:f>'RAW_센터채널성과'!F87</x:f>
        <x:v>22</x:v>
      </x:c>
      <x:c r="G87" t="n">
        <x:f>'RAW_센터채널성과'!G87</x:f>
        <x:v>9</x:v>
      </x:c>
      <x:c r="H87" s="3" t="n">
        <x:f>'RAW_센터채널성과'!H87</x:f>
        <x:v>6690000</x:v>
      </x:c>
      <x:c r="I87" s="3" t="n">
        <x:f>'RAW_센터채널성과'!I87</x:f>
        <x:v>0</x:v>
      </x:c>
      <x:c r="J87" s="3" t="n">
        <x:f>'RAW_센터채널성과'!J87</x:f>
        <x:v>110000</x:v>
      </x:c>
      <x:c r="K87" t="n">
        <x:f>'RAW_센터채널성과'!K87</x:f>
        <x:v>0</x:v>
      </x:c>
      <x:c r="L87" s="4" t="n">
        <x:f>IFERROR(F87/E87,0)</x:f>
        <x:v>0.4230769230769231</x:v>
      </x:c>
      <x:c r="M87" s="4" t="n">
        <x:f>IFERROR(G87/F87,0)</x:f>
        <x:v>0.4090909090909091</x:v>
      </x:c>
      <x:c r="N87" s="4" t="n">
        <x:f>IFERROR(I87/G87,0)</x:f>
        <x:v>0</x:v>
      </x:c>
      <x:c r="O87" s="5" t="n">
        <x:f>IFERROR(H87/J87,0)</x:f>
        <x:v>60.81818181818182</x:v>
      </x:c>
    </x:row>
    <x:row r="88">
      <x:c r="A88" t="str">
        <x:f>'RAW_센터채널성과'!A88</x:f>
        <x:v>2026-04</x:v>
      </x:c>
      <x:c r="B88" t="str">
        <x:f>'RAW_센터채널성과'!B88</x:f>
        <x:v>송파센터</x:v>
      </x:c>
      <x:c r="C88" t="str">
        <x:f>'RAW_센터채널성과'!C88</x:f>
        <x:v>초등 자기주도</x:v>
      </x:c>
      <x:c r="D88" t="str">
        <x:f>'RAW_센터채널성과'!D88</x:f>
        <x:v>카카오채널</x:v>
      </x:c>
      <x:c r="E88" t="n">
        <x:f>'RAW_센터채널성과'!E88</x:f>
        <x:v>70</x:v>
      </x:c>
      <x:c r="F88" t="n">
        <x:f>'RAW_센터채널성과'!F88</x:f>
        <x:v>42</x:v>
      </x:c>
      <x:c r="G88" t="n">
        <x:f>'RAW_센터채널성과'!G88</x:f>
        <x:v>19</x:v>
      </x:c>
      <x:c r="H88" s="3" t="n">
        <x:f>'RAW_센터채널성과'!H88</x:f>
        <x:v>13280000</x:v>
      </x:c>
      <x:c r="I88" s="3" t="n">
        <x:f>'RAW_센터채널성과'!I88</x:f>
        <x:v>0</x:v>
      </x:c>
      <x:c r="J88" s="3" t="n">
        <x:f>'RAW_센터채널성과'!J88</x:f>
        <x:v>190000</x:v>
      </x:c>
      <x:c r="K88" t="n">
        <x:f>'RAW_센터채널성과'!K88</x:f>
        <x:v>0</x:v>
      </x:c>
      <x:c r="L88" s="4" t="n">
        <x:f>IFERROR(F88/E88,0)</x:f>
        <x:v>0.6</x:v>
      </x:c>
      <x:c r="M88" s="4" t="n">
        <x:f>IFERROR(G88/F88,0)</x:f>
        <x:v>0.4523809523809524</x:v>
      </x:c>
      <x:c r="N88" s="4" t="n">
        <x:f>IFERROR(I88/G88,0)</x:f>
        <x:v>0</x:v>
      </x:c>
      <x:c r="O88" s="5" t="n">
        <x:f>IFERROR(H88/J88,0)</x:f>
        <x:v>69.89473684210526</x:v>
      </x:c>
    </x:row>
    <x:row r="89">
      <x:c r="A89" t="str">
        <x:f>'RAW_센터채널성과'!A89</x:f>
        <x:v>2026-04</x:v>
      </x:c>
      <x:c r="B89" t="str">
        <x:f>'RAW_센터채널성과'!B89</x:f>
        <x:v>송파센터</x:v>
      </x:c>
      <x:c r="C89" t="str">
        <x:f>'RAW_센터채널성과'!C89</x:f>
        <x:v>학부모 코칭</x:v>
      </x:c>
      <x:c r="D89" t="str">
        <x:f>'RAW_센터채널성과'!D89</x:f>
        <x:v>네이버광고</x:v>
      </x:c>
      <x:c r="E89" t="n">
        <x:f>'RAW_센터채널성과'!E89</x:f>
        <x:v>38</x:v>
      </x:c>
      <x:c r="F89" t="n">
        <x:f>'RAW_센터채널성과'!F89</x:f>
        <x:v>18</x:v>
      </x:c>
      <x:c r="G89" t="n">
        <x:f>'RAW_센터채널성과'!G89</x:f>
        <x:v>6</x:v>
      </x:c>
      <x:c r="H89" s="3" t="n">
        <x:f>'RAW_센터채널성과'!H89</x:f>
        <x:v>4270000</x:v>
      </x:c>
      <x:c r="I89" s="3" t="n">
        <x:f>'RAW_센터채널성과'!I89</x:f>
        <x:v>0</x:v>
      </x:c>
      <x:c r="J89" s="3" t="n">
        <x:f>'RAW_센터채널성과'!J89</x:f>
        <x:v>710000</x:v>
      </x:c>
      <x:c r="K89" t="n">
        <x:f>'RAW_센터채널성과'!K89</x:f>
        <x:v>0</x:v>
      </x:c>
      <x:c r="L89" s="4" t="n">
        <x:f>IFERROR(F89/E89,0)</x:f>
        <x:v>0.47368421052631576</x:v>
      </x:c>
      <x:c r="M89" s="4" t="n">
        <x:f>IFERROR(G89/F89,0)</x:f>
        <x:v>0.3333333333333333</x:v>
      </x:c>
      <x:c r="N89" s="4" t="n">
        <x:f>IFERROR(I89/G89,0)</x:f>
        <x:v>0</x:v>
      </x:c>
      <x:c r="O89" s="5" t="n">
        <x:f>IFERROR(H89/J89,0)</x:f>
        <x:v>6.014084507042254</x:v>
      </x:c>
    </x:row>
    <x:row r="90">
      <x:c r="A90" t="str">
        <x:f>'RAW_센터채널성과'!A90</x:f>
        <x:v>2026-04</x:v>
      </x:c>
      <x:c r="B90" t="str">
        <x:f>'RAW_센터채널성과'!B90</x:f>
        <x:v>송파센터</x:v>
      </x:c>
      <x:c r="C90" t="str">
        <x:f>'RAW_센터채널성과'!C90</x:f>
        <x:v>중등 내신</x:v>
      </x:c>
      <x:c r="D90" t="str">
        <x:f>'RAW_센터채널성과'!D90</x:f>
        <x:v>지인추천</x:v>
      </x:c>
      <x:c r="E90" t="n">
        <x:f>'RAW_센터채널성과'!E90</x:f>
        <x:v>53</x:v>
      </x:c>
      <x:c r="F90" t="n">
        <x:f>'RAW_센터채널성과'!F90</x:f>
        <x:v>37</x:v>
      </x:c>
      <x:c r="G90" t="n">
        <x:f>'RAW_센터채널성과'!G90</x:f>
        <x:v>7</x:v>
      </x:c>
      <x:c r="H90" s="3" t="n">
        <x:f>'RAW_센터채널성과'!H90</x:f>
        <x:v>4140000</x:v>
      </x:c>
      <x:c r="I90" s="3" t="n">
        <x:f>'RAW_센터채널성과'!I90</x:f>
        <x:v>0</x:v>
      </x:c>
      <x:c r="J90" s="3" t="n">
        <x:f>'RAW_센터채널성과'!J90</x:f>
        <x:v>140000</x:v>
      </x:c>
      <x:c r="K90" t="n">
        <x:f>'RAW_센터채널성과'!K90</x:f>
        <x:v>0</x:v>
      </x:c>
      <x:c r="L90" s="4" t="n">
        <x:f>IFERROR(F90/E90,0)</x:f>
        <x:v>0.6981132075471698</x:v>
      </x:c>
      <x:c r="M90" s="4" t="n">
        <x:f>IFERROR(G90/F90,0)</x:f>
        <x:v>0.1891891891891892</x:v>
      </x:c>
      <x:c r="N90" s="4" t="n">
        <x:f>IFERROR(I90/G90,0)</x:f>
        <x:v>0</x:v>
      </x:c>
      <x:c r="O90" s="5" t="n">
        <x:f>IFERROR(H90/J90,0)</x:f>
        <x:v>29.571428571428573</x:v>
      </x:c>
    </x:row>
    <x:row r="91">
      <x:c r="A91" t="str">
        <x:f>'RAW_센터채널성과'!A91</x:f>
        <x:v>2026-04</x:v>
      </x:c>
      <x:c r="B91" t="str">
        <x:f>'RAW_센터채널성과'!B91</x:f>
        <x:v>송파센터</x:v>
      </x:c>
      <x:c r="C91" t="str">
        <x:f>'RAW_센터채널성과'!C91</x:f>
        <x:v>AI 학습관리</x:v>
      </x:c>
      <x:c r="D91" t="str">
        <x:f>'RAW_센터채널성과'!D91</x:f>
        <x:v>설명회</x:v>
      </x:c>
      <x:c r="E91" t="n">
        <x:f>'RAW_센터채널성과'!E91</x:f>
        <x:v>51</x:v>
      </x:c>
      <x:c r="F91" t="n">
        <x:f>'RAW_센터채널성과'!F91</x:f>
        <x:v>34</x:v>
      </x:c>
      <x:c r="G91" t="n">
        <x:f>'RAW_센터채널성과'!G91</x:f>
        <x:v>6</x:v>
      </x:c>
      <x:c r="H91" s="3" t="n">
        <x:f>'RAW_센터채널성과'!H91</x:f>
        <x:v>4640000</x:v>
      </x:c>
      <x:c r="I91" s="3" t="n">
        <x:f>'RAW_센터채널성과'!I91</x:f>
        <x:v>0</x:v>
      </x:c>
      <x:c r="J91" s="3" t="n">
        <x:f>'RAW_센터채널성과'!J91</x:f>
        <x:v>90000</x:v>
      </x:c>
      <x:c r="K91" t="n">
        <x:f>'RAW_센터채널성과'!K91</x:f>
        <x:v>0</x:v>
      </x:c>
      <x:c r="L91" s="4" t="n">
        <x:f>IFERROR(F91/E91,0)</x:f>
        <x:v>0.6666666666666666</x:v>
      </x:c>
      <x:c r="M91" s="4" t="n">
        <x:f>IFERROR(G91/F91,0)</x:f>
        <x:v>0.17647058823529413</x:v>
      </x:c>
      <x:c r="N91" s="4" t="n">
        <x:f>IFERROR(I91/G91,0)</x:f>
        <x:v>0</x:v>
      </x:c>
      <x:c r="O91" s="5" t="n">
        <x:f>IFERROR(H91/J91,0)</x:f>
        <x:v>51.55555555555556</x:v>
      </x:c>
    </x:row>
    <x:row r="92">
      <x:c r="A92" t="str">
        <x:f>'RAW_센터채널성과'!A92</x:f>
        <x:v>2026-04</x:v>
      </x:c>
      <x:c r="B92" t="str">
        <x:f>'RAW_센터채널성과'!B92</x:f>
        <x:v>목동센터</x:v>
      </x:c>
      <x:c r="C92" t="str">
        <x:f>'RAW_센터채널성과'!C92</x:f>
        <x:v>고등 입시</x:v>
      </x:c>
      <x:c r="D92" t="str">
        <x:f>'RAW_센터채널성과'!D92</x:f>
        <x:v>홈페이지</x:v>
      </x:c>
      <x:c r="E92" t="n">
        <x:f>'RAW_센터채널성과'!E92</x:f>
        <x:v>36</x:v>
      </x:c>
      <x:c r="F92" t="n">
        <x:f>'RAW_센터채널성과'!F92</x:f>
        <x:v>17</x:v>
      </x:c>
      <x:c r="G92" t="n">
        <x:f>'RAW_센터채널성과'!G92</x:f>
        <x:v>7</x:v>
      </x:c>
      <x:c r="H92" s="3" t="n">
        <x:f>'RAW_센터채널성과'!H92</x:f>
        <x:v>3940000</x:v>
      </x:c>
      <x:c r="I92" s="3" t="n">
        <x:f>'RAW_센터채널성과'!I92</x:f>
        <x:v>0</x:v>
      </x:c>
      <x:c r="J92" s="3" t="n">
        <x:f>'RAW_센터채널성과'!J92</x:f>
        <x:v>120000</x:v>
      </x:c>
      <x:c r="K92" t="n">
        <x:f>'RAW_센터채널성과'!K92</x:f>
        <x:v>0</x:v>
      </x:c>
      <x:c r="L92" s="4" t="n">
        <x:f>IFERROR(F92/E92,0)</x:f>
        <x:v>0.4722222222222222</x:v>
      </x:c>
      <x:c r="M92" s="4" t="n">
        <x:f>IFERROR(G92/F92,0)</x:f>
        <x:v>0.4117647058823529</x:v>
      </x:c>
      <x:c r="N92" s="4" t="n">
        <x:f>IFERROR(I92/G92,0)</x:f>
        <x:v>0</x:v>
      </x:c>
      <x:c r="O92" s="5" t="n">
        <x:f>IFERROR(H92/J92,0)</x:f>
        <x:v>32.833333333333336</x:v>
      </x:c>
    </x:row>
    <x:row r="93">
      <x:c r="A93" t="str">
        <x:f>'RAW_센터채널성과'!A93</x:f>
        <x:v>2026-04</x:v>
      </x:c>
      <x:c r="B93" t="str">
        <x:f>'RAW_센터채널성과'!B93</x:f>
        <x:v>목동센터</x:v>
      </x:c>
      <x:c r="C93" t="str">
        <x:f>'RAW_센터채널성과'!C93</x:f>
        <x:v>초등 자기주도</x:v>
      </x:c>
      <x:c r="D93" t="str">
        <x:f>'RAW_센터채널성과'!D93</x:f>
        <x:v>블로그</x:v>
      </x:c>
      <x:c r="E93" t="n">
        <x:f>'RAW_센터채널성과'!E93</x:f>
        <x:v>70</x:v>
      </x:c>
      <x:c r="F93" t="n">
        <x:f>'RAW_센터채널성과'!F93</x:f>
        <x:v>28</x:v>
      </x:c>
      <x:c r="G93" t="n">
        <x:f>'RAW_센터채널성과'!G93</x:f>
        <x:v>15</x:v>
      </x:c>
      <x:c r="H93" s="3" t="n">
        <x:f>'RAW_센터채널성과'!H93</x:f>
        <x:v>12130000</x:v>
      </x:c>
      <x:c r="I93" s="3" t="n">
        <x:f>'RAW_센터채널성과'!I93</x:f>
        <x:v>0</x:v>
      </x:c>
      <x:c r="J93" s="3" t="n">
        <x:f>'RAW_센터채널성과'!J93</x:f>
        <x:v>120000</x:v>
      </x:c>
      <x:c r="K93" t="n">
        <x:f>'RAW_센터채널성과'!K93</x:f>
        <x:v>0</x:v>
      </x:c>
      <x:c r="L93" s="4" t="n">
        <x:f>IFERROR(F93/E93,0)</x:f>
        <x:v>0.4</x:v>
      </x:c>
      <x:c r="M93" s="4" t="n">
        <x:f>IFERROR(G93/F93,0)</x:f>
        <x:v>0.5357142857142857</x:v>
      </x:c>
      <x:c r="N93" s="4" t="n">
        <x:f>IFERROR(I93/G93,0)</x:f>
        <x:v>0</x:v>
      </x:c>
      <x:c r="O93" s="5" t="n">
        <x:f>IFERROR(H93/J93,0)</x:f>
        <x:v>101.08333333333333</x:v>
      </x:c>
    </x:row>
    <x:row r="94">
      <x:c r="A94" t="str">
        <x:f>'RAW_센터채널성과'!A94</x:f>
        <x:v>2026-04</x:v>
      </x:c>
      <x:c r="B94" t="str">
        <x:f>'RAW_센터채널성과'!B94</x:f>
        <x:v>목동센터</x:v>
      </x:c>
      <x:c r="C94" t="str">
        <x:f>'RAW_센터채널성과'!C94</x:f>
        <x:v>학부모 코칭</x:v>
      </x:c>
      <x:c r="D94" t="str">
        <x:f>'RAW_센터채널성과'!D94</x:f>
        <x:v>카카오채널</x:v>
      </x:c>
      <x:c r="E94" t="n">
        <x:f>'RAW_센터채널성과'!E94</x:f>
        <x:v>91</x:v>
      </x:c>
      <x:c r="F94" t="n">
        <x:f>'RAW_센터채널성과'!F94</x:f>
        <x:v>55</x:v>
      </x:c>
      <x:c r="G94" t="n">
        <x:f>'RAW_센터채널성과'!G94</x:f>
        <x:v>15</x:v>
      </x:c>
      <x:c r="H94" s="3" t="n">
        <x:f>'RAW_센터채널성과'!H94</x:f>
        <x:v>12360000</x:v>
      </x:c>
      <x:c r="I94" s="3" t="n">
        <x:f>'RAW_센터채널성과'!I94</x:f>
        <x:v>1</x:v>
      </x:c>
      <x:c r="J94" s="3" t="n">
        <x:f>'RAW_센터채널성과'!J94</x:f>
        <x:v>330000</x:v>
      </x:c>
      <x:c r="K94" t="n">
        <x:f>'RAW_센터채널성과'!K94</x:f>
        <x:v>0</x:v>
      </x:c>
      <x:c r="L94" s="4" t="n">
        <x:f>IFERROR(F94/E94,0)</x:f>
        <x:v>0.6043956043956044</x:v>
      </x:c>
      <x:c r="M94" s="4" t="n">
        <x:f>IFERROR(G94/F94,0)</x:f>
        <x:v>0.2727272727272727</x:v>
      </x:c>
      <x:c r="N94" s="4" t="n">
        <x:f>IFERROR(I94/G94,0)</x:f>
        <x:v>0.06666666666666667</x:v>
      </x:c>
      <x:c r="O94" s="5" t="n">
        <x:f>IFERROR(H94/J94,0)</x:f>
        <x:v>37.45454545454545</x:v>
      </x:c>
    </x:row>
    <x:row r="95">
      <x:c r="A95" t="str">
        <x:f>'RAW_센터채널성과'!A95</x:f>
        <x:v>2026-04</x:v>
      </x:c>
      <x:c r="B95" t="str">
        <x:f>'RAW_센터채널성과'!B95</x:f>
        <x:v>목동센터</x:v>
      </x:c>
      <x:c r="C95" t="str">
        <x:f>'RAW_센터채널성과'!C95</x:f>
        <x:v>고등 입시</x:v>
      </x:c>
      <x:c r="D95" t="str">
        <x:f>'RAW_센터채널성과'!D95</x:f>
        <x:v>네이버광고</x:v>
      </x:c>
      <x:c r="E95" t="n">
        <x:f>'RAW_센터채널성과'!E95</x:f>
        <x:v>95</x:v>
      </x:c>
      <x:c r="F95" t="n">
        <x:f>'RAW_센터채널성과'!F95</x:f>
        <x:v>47</x:v>
      </x:c>
      <x:c r="G95" t="n">
        <x:f>'RAW_센터채널성과'!G95</x:f>
        <x:v>10</x:v>
      </x:c>
      <x:c r="H95" s="3" t="n">
        <x:f>'RAW_센터채널성과'!H95</x:f>
        <x:v>8990000</x:v>
      </x:c>
      <x:c r="I95" s="3" t="n">
        <x:f>'RAW_센터채널성과'!I95</x:f>
        <x:v>0</x:v>
      </x:c>
      <x:c r="J95" s="3" t="n">
        <x:f>'RAW_센터채널성과'!J95</x:f>
        <x:v>900000</x:v>
      </x:c>
      <x:c r="K95" t="n">
        <x:f>'RAW_센터채널성과'!K95</x:f>
        <x:v>0</x:v>
      </x:c>
      <x:c r="L95" s="4" t="n">
        <x:f>IFERROR(F95/E95,0)</x:f>
        <x:v>0.49473684210526314</x:v>
      </x:c>
      <x:c r="M95" s="4" t="n">
        <x:f>IFERROR(G95/F95,0)</x:f>
        <x:v>0.2127659574468085</x:v>
      </x:c>
      <x:c r="N95" s="4" t="n">
        <x:f>IFERROR(I95/G95,0)</x:f>
        <x:v>0</x:v>
      </x:c>
      <x:c r="O95" s="5" t="n">
        <x:f>IFERROR(H95/J95,0)</x:f>
        <x:v>9.988888888888889</x:v>
      </x:c>
    </x:row>
    <x:row r="96">
      <x:c r="A96" t="str">
        <x:f>'RAW_센터채널성과'!A96</x:f>
        <x:v>2026-04</x:v>
      </x:c>
      <x:c r="B96" t="str">
        <x:f>'RAW_센터채널성과'!B96</x:f>
        <x:v>목동센터</x:v>
      </x:c>
      <x:c r="C96" t="str">
        <x:f>'RAW_센터채널성과'!C96</x:f>
        <x:v>초등 자기주도</x:v>
      </x:c>
      <x:c r="D96" t="str">
        <x:f>'RAW_센터채널성과'!D96</x:f>
        <x:v>지인추천</x:v>
      </x:c>
      <x:c r="E96" t="n">
        <x:f>'RAW_센터채널성과'!E96</x:f>
        <x:v>96</x:v>
      </x:c>
      <x:c r="F96" t="n">
        <x:f>'RAW_센터채널성과'!F96</x:f>
        <x:v>40</x:v>
      </x:c>
      <x:c r="G96" t="n">
        <x:f>'RAW_센터채널성과'!G96</x:f>
        <x:v>18</x:v>
      </x:c>
      <x:c r="H96" s="3" t="n">
        <x:f>'RAW_센터채널성과'!H96</x:f>
        <x:v>16350000</x:v>
      </x:c>
      <x:c r="I96" s="3" t="n">
        <x:f>'RAW_센터채널성과'!I96</x:f>
        <x:v>0</x:v>
      </x:c>
      <x:c r="J96" s="3" t="n">
        <x:f>'RAW_센터채널성과'!J96</x:f>
        <x:v>320000</x:v>
      </x:c>
      <x:c r="K96" t="n">
        <x:f>'RAW_센터채널성과'!K96</x:f>
        <x:v>0</x:v>
      </x:c>
      <x:c r="L96" s="4" t="n">
        <x:f>IFERROR(F96/E96,0)</x:f>
        <x:v>0.4166666666666667</x:v>
      </x:c>
      <x:c r="M96" s="4" t="n">
        <x:f>IFERROR(G96/F96,0)</x:f>
        <x:v>0.45</x:v>
      </x:c>
      <x:c r="N96" s="4" t="n">
        <x:f>IFERROR(I96/G96,0)</x:f>
        <x:v>0</x:v>
      </x:c>
      <x:c r="O96" s="5" t="n">
        <x:f>IFERROR(H96/J96,0)</x:f>
        <x:v>51.09375</x:v>
      </x:c>
    </x:row>
    <x:row r="97">
      <x:c r="A97" t="str">
        <x:f>'RAW_센터채널성과'!A97</x:f>
        <x:v>2026-04</x:v>
      </x:c>
      <x:c r="B97" t="str">
        <x:f>'RAW_센터채널성과'!B97</x:f>
        <x:v>목동센터</x:v>
      </x:c>
      <x:c r="C97" t="str">
        <x:f>'RAW_센터채널성과'!C97</x:f>
        <x:v>학부모 코칭</x:v>
      </x:c>
      <x:c r="D97" t="str">
        <x:f>'RAW_센터채널성과'!D97</x:f>
        <x:v>설명회</x:v>
      </x:c>
      <x:c r="E97" t="n">
        <x:f>'RAW_센터채널성과'!E97</x:f>
        <x:v>77</x:v>
      </x:c>
      <x:c r="F97" t="n">
        <x:f>'RAW_센터채널성과'!F97</x:f>
        <x:v>29</x:v>
      </x:c>
      <x:c r="G97" t="n">
        <x:f>'RAW_센터채널성과'!G97</x:f>
        <x:v>14</x:v>
      </x:c>
      <x:c r="H97" s="3" t="n">
        <x:f>'RAW_센터채널성과'!H97</x:f>
        <x:v>8450000</x:v>
      </x:c>
      <x:c r="I97" s="3" t="n">
        <x:f>'RAW_센터채널성과'!I97</x:f>
        <x:v>3</x:v>
      </x:c>
      <x:c r="J97" s="3" t="n">
        <x:f>'RAW_센터채널성과'!J97</x:f>
        <x:v>150000</x:v>
      </x:c>
      <x:c r="K97" t="n">
        <x:f>'RAW_센터채널성과'!K97</x:f>
        <x:v>0</x:v>
      </x:c>
      <x:c r="L97" s="4" t="n">
        <x:f>IFERROR(F97/E97,0)</x:f>
        <x:v>0.37662337662337664</x:v>
      </x:c>
      <x:c r="M97" s="4" t="n">
        <x:f>IFERROR(G97/F97,0)</x:f>
        <x:v>0.4827586206896552</x:v>
      </x:c>
      <x:c r="N97" s="4" t="n">
        <x:f>IFERROR(I97/G97,0)</x:f>
        <x:v>0.21428571428571427</x:v>
      </x:c>
      <x:c r="O97" s="5" t="n">
        <x:f>IFERROR(H97/J97,0)</x:f>
        <x:v>56.333333333333336</x:v>
      </x:c>
    </x:row>
    <x:row r="98">
      <x:c r="A98" t="str">
        <x:f>'RAW_센터채널성과'!A98</x:f>
        <x:v>2026-04</x:v>
      </x:c>
      <x:c r="B98" t="str">
        <x:f>'RAW_센터채널성과'!B98</x:f>
        <x:v>대전센터</x:v>
      </x:c>
      <x:c r="C98" t="str">
        <x:f>'RAW_센터채널성과'!C98</x:f>
        <x:v>고등 입시</x:v>
      </x:c>
      <x:c r="D98" t="str">
        <x:f>'RAW_센터채널성과'!D98</x:f>
        <x:v>홈페이지</x:v>
      </x:c>
      <x:c r="E98" t="n">
        <x:f>'RAW_센터채널성과'!E98</x:f>
        <x:v>71</x:v>
      </x:c>
      <x:c r="F98" t="n">
        <x:f>'RAW_센터채널성과'!F98</x:f>
        <x:v>44</x:v>
      </x:c>
      <x:c r="G98" t="n">
        <x:f>'RAW_센터채널성과'!G98</x:f>
        <x:v>14</x:v>
      </x:c>
      <x:c r="H98" s="3" t="n">
        <x:f>'RAW_센터채널성과'!H98</x:f>
        <x:v>11310000</x:v>
      </x:c>
      <x:c r="I98" s="3" t="n">
        <x:f>'RAW_센터채널성과'!I98</x:f>
        <x:v>0</x:v>
      </x:c>
      <x:c r="J98" s="3" t="n">
        <x:f>'RAW_센터채널성과'!J98</x:f>
        <x:v>230000</x:v>
      </x:c>
      <x:c r="K98" t="n">
        <x:f>'RAW_센터채널성과'!K98</x:f>
        <x:v>0</x:v>
      </x:c>
      <x:c r="L98" s="4" t="n">
        <x:f>IFERROR(F98/E98,0)</x:f>
        <x:v>0.6197183098591549</x:v>
      </x:c>
      <x:c r="M98" s="4" t="n">
        <x:f>IFERROR(G98/F98,0)</x:f>
        <x:v>0.3181818181818182</x:v>
      </x:c>
      <x:c r="N98" s="4" t="n">
        <x:f>IFERROR(I98/G98,0)</x:f>
        <x:v>0</x:v>
      </x:c>
      <x:c r="O98" s="5" t="n">
        <x:f>IFERROR(H98/J98,0)</x:f>
        <x:v>49.17391304347826</x:v>
      </x:c>
    </x:row>
    <x:row r="99">
      <x:c r="A99" t="str">
        <x:f>'RAW_센터채널성과'!A99</x:f>
        <x:v>2026-04</x:v>
      </x:c>
      <x:c r="B99" t="str">
        <x:f>'RAW_센터채널성과'!B99</x:f>
        <x:v>대전센터</x:v>
      </x:c>
      <x:c r="C99" t="str">
        <x:f>'RAW_센터채널성과'!C99</x:f>
        <x:v>초등 자기주도</x:v>
      </x:c>
      <x:c r="D99" t="str">
        <x:f>'RAW_센터채널성과'!D99</x:f>
        <x:v>블로그</x:v>
      </x:c>
      <x:c r="E99" t="n">
        <x:f>'RAW_센터채널성과'!E99</x:f>
        <x:v>72</x:v>
      </x:c>
      <x:c r="F99" t="n">
        <x:f>'RAW_센터채널성과'!F99</x:f>
        <x:v>28</x:v>
      </x:c>
      <x:c r="G99" t="n">
        <x:f>'RAW_센터채널성과'!G99</x:f>
        <x:v>12</x:v>
      </x:c>
      <x:c r="H99" s="3" t="n">
        <x:f>'RAW_센터채널성과'!H99</x:f>
        <x:v>9520000</x:v>
      </x:c>
      <x:c r="I99" s="3" t="n">
        <x:f>'RAW_센터채널성과'!I99</x:f>
        <x:v>0</x:v>
      </x:c>
      <x:c r="J99" s="3" t="n">
        <x:f>'RAW_센터채널성과'!J99</x:f>
        <x:v>260000</x:v>
      </x:c>
      <x:c r="K99" t="n">
        <x:f>'RAW_센터채널성과'!K99</x:f>
        <x:v>0</x:v>
      </x:c>
      <x:c r="L99" s="4" t="n">
        <x:f>IFERROR(F99/E99,0)</x:f>
        <x:v>0.3888888888888889</x:v>
      </x:c>
      <x:c r="M99" s="4" t="n">
        <x:f>IFERROR(G99/F99,0)</x:f>
        <x:v>0.42857142857142855</x:v>
      </x:c>
      <x:c r="N99" s="4" t="n">
        <x:f>IFERROR(I99/G99,0)</x:f>
        <x:v>0</x:v>
      </x:c>
      <x:c r="O99" s="5" t="n">
        <x:f>IFERROR(H99/J99,0)</x:f>
        <x:v>36.61538461538461</x:v>
      </x:c>
    </x:row>
    <x:row r="100">
      <x:c r="A100" t="str">
        <x:f>'RAW_센터채널성과'!A100</x:f>
        <x:v>2026-04</x:v>
      </x:c>
      <x:c r="B100" t="str">
        <x:f>'RAW_센터채널성과'!B100</x:f>
        <x:v>대전센터</x:v>
      </x:c>
      <x:c r="C100" t="str">
        <x:f>'RAW_센터채널성과'!C100</x:f>
        <x:v>학부모 코칭</x:v>
      </x:c>
      <x:c r="D100" t="str">
        <x:f>'RAW_센터채널성과'!D100</x:f>
        <x:v>카카오채널</x:v>
      </x:c>
      <x:c r="E100" t="n">
        <x:f>'RAW_센터채널성과'!E100</x:f>
        <x:v>49</x:v>
      </x:c>
      <x:c r="F100" t="n">
        <x:f>'RAW_센터채널성과'!F100</x:f>
        <x:v>26</x:v>
      </x:c>
      <x:c r="G100" t="n">
        <x:f>'RAW_센터채널성과'!G100</x:f>
        <x:v>10</x:v>
      </x:c>
      <x:c r="H100" s="3" t="n">
        <x:f>'RAW_센터채널성과'!H100</x:f>
        <x:v>6270000</x:v>
      </x:c>
      <x:c r="I100" s="3" t="n">
        <x:f>'RAW_센터채널성과'!I100</x:f>
        <x:v>0</x:v>
      </x:c>
      <x:c r="J100" s="3" t="n">
        <x:f>'RAW_센터채널성과'!J100</x:f>
        <x:v>160000</x:v>
      </x:c>
      <x:c r="K100" t="n">
        <x:f>'RAW_센터채널성과'!K100</x:f>
        <x:v>0</x:v>
      </x:c>
      <x:c r="L100" s="4" t="n">
        <x:f>IFERROR(F100/E100,0)</x:f>
        <x:v>0.5306122448979592</x:v>
      </x:c>
      <x:c r="M100" s="4" t="n">
        <x:f>IFERROR(G100/F100,0)</x:f>
        <x:v>0.38461538461538464</x:v>
      </x:c>
      <x:c r="N100" s="4" t="n">
        <x:f>IFERROR(I100/G100,0)</x:f>
        <x:v>0</x:v>
      </x:c>
      <x:c r="O100" s="5" t="n">
        <x:f>IFERROR(H100/J100,0)</x:f>
        <x:v>39.1875</x:v>
      </x:c>
    </x:row>
    <x:row r="101">
      <x:c r="A101" t="str">
        <x:f>'RAW_센터채널성과'!A101</x:f>
        <x:v>2026-04</x:v>
      </x:c>
      <x:c r="B101" t="str">
        <x:f>'RAW_센터채널성과'!B101</x:f>
        <x:v>대전센터</x:v>
      </x:c>
      <x:c r="C101" t="str">
        <x:f>'RAW_센터채널성과'!C101</x:f>
        <x:v>중등 내신</x:v>
      </x:c>
      <x:c r="D101" t="str">
        <x:f>'RAW_센터채널성과'!D101</x:f>
        <x:v>네이버광고</x:v>
      </x:c>
      <x:c r="E101" t="n">
        <x:f>'RAW_센터채널성과'!E101</x:f>
        <x:v>36</x:v>
      </x:c>
      <x:c r="F101" t="n">
        <x:f>'RAW_센터채널성과'!F101</x:f>
        <x:v>19</x:v>
      </x:c>
      <x:c r="G101" t="n">
        <x:f>'RAW_센터채널성과'!G101</x:f>
        <x:v>6</x:v>
      </x:c>
      <x:c r="H101" s="3" t="n">
        <x:f>'RAW_센터채널성과'!H101</x:f>
        <x:v>5560000</x:v>
      </x:c>
      <x:c r="I101" s="3" t="n">
        <x:f>'RAW_센터채널성과'!I101</x:f>
        <x:v>0</x:v>
      </x:c>
      <x:c r="J101" s="3" t="n">
        <x:f>'RAW_센터채널성과'!J101</x:f>
        <x:v>470000</x:v>
      </x:c>
      <x:c r="K101" t="n">
        <x:f>'RAW_센터채널성과'!K101</x:f>
        <x:v>0</x:v>
      </x:c>
      <x:c r="L101" s="4" t="n">
        <x:f>IFERROR(F101/E101,0)</x:f>
        <x:v>0.5277777777777778</x:v>
      </x:c>
      <x:c r="M101" s="4" t="n">
        <x:f>IFERROR(G101/F101,0)</x:f>
        <x:v>0.3157894736842105</x:v>
      </x:c>
      <x:c r="N101" s="4" t="n">
        <x:f>IFERROR(I101/G101,0)</x:f>
        <x:v>0</x:v>
      </x:c>
      <x:c r="O101" s="5" t="n">
        <x:f>IFERROR(H101/J101,0)</x:f>
        <x:v>11.829787234042554</x:v>
      </x:c>
    </x:row>
    <x:row r="102">
      <x:c r="A102" t="str">
        <x:f>'RAW_센터채널성과'!A102</x:f>
        <x:v>2026-04</x:v>
      </x:c>
      <x:c r="B102" t="str">
        <x:f>'RAW_센터채널성과'!B102</x:f>
        <x:v>대전센터</x:v>
      </x:c>
      <x:c r="C102" t="str">
        <x:f>'RAW_센터채널성과'!C102</x:f>
        <x:v>AI 학습관리</x:v>
      </x:c>
      <x:c r="D102" t="str">
        <x:f>'RAW_센터채널성과'!D102</x:f>
        <x:v>지인추천</x:v>
      </x:c>
      <x:c r="E102" t="n">
        <x:f>'RAW_센터채널성과'!E102</x:f>
        <x:v>42</x:v>
      </x:c>
      <x:c r="F102" t="n">
        <x:f>'RAW_센터채널성과'!F102</x:f>
        <x:v>28</x:v>
      </x:c>
      <x:c r="G102" t="n">
        <x:f>'RAW_센터채널성과'!G102</x:f>
        <x:v>10</x:v>
      </x:c>
      <x:c r="H102" s="3" t="n">
        <x:f>'RAW_센터채널성과'!H102</x:f>
        <x:v>7260000</x:v>
      </x:c>
      <x:c r="I102" s="3" t="n">
        <x:f>'RAW_센터채널성과'!I102</x:f>
        <x:v>0</x:v>
      </x:c>
      <x:c r="J102" s="3" t="n">
        <x:f>'RAW_센터채널성과'!J102</x:f>
        <x:v>160000</x:v>
      </x:c>
      <x:c r="K102" t="n">
        <x:f>'RAW_센터채널성과'!K102</x:f>
        <x:v>0</x:v>
      </x:c>
      <x:c r="L102" s="4" t="n">
        <x:f>IFERROR(F102/E102,0)</x:f>
        <x:v>0.6666666666666666</x:v>
      </x:c>
      <x:c r="M102" s="4" t="n">
        <x:f>IFERROR(G102/F102,0)</x:f>
        <x:v>0.35714285714285715</x:v>
      </x:c>
      <x:c r="N102" s="4" t="n">
        <x:f>IFERROR(I102/G102,0)</x:f>
        <x:v>0</x:v>
      </x:c>
      <x:c r="O102" s="5" t="n">
        <x:f>IFERROR(H102/J102,0)</x:f>
        <x:v>45.375</x:v>
      </x:c>
    </x:row>
    <x:row r="103">
      <x:c r="A103" t="str">
        <x:f>'RAW_센터채널성과'!A103</x:f>
        <x:v>2026-04</x:v>
      </x:c>
      <x:c r="B103" t="str">
        <x:f>'RAW_센터채널성과'!B103</x:f>
        <x:v>대전센터</x:v>
      </x:c>
      <x:c r="C103" t="str">
        <x:f>'RAW_센터채널성과'!C103</x:f>
        <x:v>고등 입시</x:v>
      </x:c>
      <x:c r="D103" t="str">
        <x:f>'RAW_센터채널성과'!D103</x:f>
        <x:v>설명회</x:v>
      </x:c>
      <x:c r="E103" t="n">
        <x:f>'RAW_센터채널성과'!E103</x:f>
        <x:v>62</x:v>
      </x:c>
      <x:c r="F103" t="n">
        <x:f>'RAW_센터채널성과'!F103</x:f>
        <x:v>28</x:v>
      </x:c>
      <x:c r="G103" t="n">
        <x:f>'RAW_센터채널성과'!G103</x:f>
        <x:v>13</x:v>
      </x:c>
      <x:c r="H103" s="3" t="n">
        <x:f>'RAW_센터채널성과'!H103</x:f>
        <x:v>7420000</x:v>
      </x:c>
      <x:c r="I103" s="3" t="n">
        <x:f>'RAW_센터채널성과'!I103</x:f>
        <x:v>0</x:v>
      </x:c>
      <x:c r="J103" s="3" t="n">
        <x:f>'RAW_센터채널성과'!J103</x:f>
        <x:v>90000</x:v>
      </x:c>
      <x:c r="K103" t="n">
        <x:f>'RAW_센터채널성과'!K103</x:f>
        <x:v>0</x:v>
      </x:c>
      <x:c r="L103" s="4" t="n">
        <x:f>IFERROR(F103/E103,0)</x:f>
        <x:v>0.45161290322580644</x:v>
      </x:c>
      <x:c r="M103" s="4" t="n">
        <x:f>IFERROR(G103/F103,0)</x:f>
        <x:v>0.4642857142857143</x:v>
      </x:c>
      <x:c r="N103" s="4" t="n">
        <x:f>IFERROR(I103/G103,0)</x:f>
        <x:v>0</x:v>
      </x:c>
      <x:c r="O103" s="5" t="n">
        <x:f>IFERROR(H103/J103,0)</x:f>
        <x:v>82.44444444444444</x:v>
      </x:c>
    </x:row>
    <x:row r="104">
      <x:c r="A104" t="str">
        <x:f>'RAW_센터채널성과'!A104</x:f>
        <x:v>2026-04</x:v>
      </x:c>
      <x:c r="B104" t="str">
        <x:f>'RAW_센터채널성과'!B104</x:f>
        <x:v>부산센터</x:v>
      </x:c>
      <x:c r="C104" t="str">
        <x:f>'RAW_센터채널성과'!C104</x:f>
        <x:v>초등 자기주도</x:v>
      </x:c>
      <x:c r="D104" t="str">
        <x:f>'RAW_센터채널성과'!D104</x:f>
        <x:v>홈페이지</x:v>
      </x:c>
      <x:c r="E104" t="n">
        <x:f>'RAW_센터채널성과'!E104</x:f>
        <x:v>74</x:v>
      </x:c>
      <x:c r="F104" t="n">
        <x:f>'RAW_센터채널성과'!F104</x:f>
        <x:v>31</x:v>
      </x:c>
      <x:c r="G104" t="n">
        <x:f>'RAW_센터채널성과'!G104</x:f>
        <x:v>6</x:v>
      </x:c>
      <x:c r="H104" s="3" t="n">
        <x:f>'RAW_센터채널성과'!H104</x:f>
        <x:v>3700000</x:v>
      </x:c>
      <x:c r="I104" s="3" t="n">
        <x:f>'RAW_센터채널성과'!I104</x:f>
        <x:v>0</x:v>
      </x:c>
      <x:c r="J104" s="3" t="n">
        <x:f>'RAW_센터채널성과'!J104</x:f>
        <x:v>230000</x:v>
      </x:c>
      <x:c r="K104" t="n">
        <x:f>'RAW_센터채널성과'!K104</x:f>
        <x:v>0</x:v>
      </x:c>
      <x:c r="L104" s="4" t="n">
        <x:f>IFERROR(F104/E104,0)</x:f>
        <x:v>0.4189189189189189</x:v>
      </x:c>
      <x:c r="M104" s="4" t="n">
        <x:f>IFERROR(G104/F104,0)</x:f>
        <x:v>0.1935483870967742</x:v>
      </x:c>
      <x:c r="N104" s="4" t="n">
        <x:f>IFERROR(I104/G104,0)</x:f>
        <x:v>0</x:v>
      </x:c>
      <x:c r="O104" s="5" t="n">
        <x:f>IFERROR(H104/J104,0)</x:f>
        <x:v>16.08695652173913</x:v>
      </x:c>
    </x:row>
    <x:row r="105">
      <x:c r="A105" t="str">
        <x:f>'RAW_센터채널성과'!A105</x:f>
        <x:v>2026-04</x:v>
      </x:c>
      <x:c r="B105" t="str">
        <x:f>'RAW_센터채널성과'!B105</x:f>
        <x:v>부산센터</x:v>
      </x:c>
      <x:c r="C105" t="str">
        <x:f>'RAW_센터채널성과'!C105</x:f>
        <x:v>학부모 코칭</x:v>
      </x:c>
      <x:c r="D105" t="str">
        <x:f>'RAW_센터채널성과'!D105</x:f>
        <x:v>블로그</x:v>
      </x:c>
      <x:c r="E105" t="n">
        <x:f>'RAW_센터채널성과'!E105</x:f>
        <x:v>67</x:v>
      </x:c>
      <x:c r="F105" t="n">
        <x:f>'RAW_센터채널성과'!F105</x:f>
        <x:v>38</x:v>
      </x:c>
      <x:c r="G105" t="n">
        <x:f>'RAW_센터채널성과'!G105</x:f>
        <x:v>15</x:v>
      </x:c>
      <x:c r="H105" s="3" t="n">
        <x:f>'RAW_센터채널성과'!H105</x:f>
        <x:v>9950000</x:v>
      </x:c>
      <x:c r="I105" s="3" t="n">
        <x:f>'RAW_센터채널성과'!I105</x:f>
        <x:v>0</x:v>
      </x:c>
      <x:c r="J105" s="3" t="n">
        <x:f>'RAW_센터채널성과'!J105</x:f>
        <x:v>100000</x:v>
      </x:c>
      <x:c r="K105" t="str">
        <x:f>'RAW_센터채널성과'!K105</x:f>
        <x:v>설명회 유입 포함</x:v>
      </x:c>
      <x:c r="L105" s="4" t="n">
        <x:f>IFERROR(F105/E105,0)</x:f>
        <x:v>0.5671641791044776</x:v>
      </x:c>
      <x:c r="M105" s="4" t="n">
        <x:f>IFERROR(G105/F105,0)</x:f>
        <x:v>0.39473684210526316</x:v>
      </x:c>
      <x:c r="N105" s="4" t="n">
        <x:f>IFERROR(I105/G105,0)</x:f>
        <x:v>0</x:v>
      </x:c>
      <x:c r="O105" s="5" t="n">
        <x:f>IFERROR(H105/J105,0)</x:f>
        <x:v>99.5</x:v>
      </x:c>
    </x:row>
    <x:row r="106">
      <x:c r="A106" t="str">
        <x:f>'RAW_센터채널성과'!A106</x:f>
        <x:v>2026-04</x:v>
      </x:c>
      <x:c r="B106" t="str">
        <x:f>'RAW_센터채널성과'!B106</x:f>
        <x:v>부산센터</x:v>
      </x:c>
      <x:c r="C106" t="str">
        <x:f>'RAW_센터채널성과'!C106</x:f>
        <x:v>중등 내신</x:v>
      </x:c>
      <x:c r="D106" t="str">
        <x:f>'RAW_센터채널성과'!D106</x:f>
        <x:v>카카오채널</x:v>
      </x:c>
      <x:c r="E106" t="n">
        <x:f>'RAW_센터채널성과'!E106</x:f>
        <x:v>76</x:v>
      </x:c>
      <x:c r="F106" t="n">
        <x:f>'RAW_센터채널성과'!F106</x:f>
        <x:v>49</x:v>
      </x:c>
      <x:c r="G106" t="n">
        <x:f>'RAW_센터채널성과'!G106</x:f>
        <x:v>21</x:v>
      </x:c>
      <x:c r="H106" s="3" t="n">
        <x:f>'RAW_센터채널성과'!H106</x:f>
        <x:v>12020000</x:v>
      </x:c>
      <x:c r="I106" s="3" t="n">
        <x:f>'RAW_센터채널성과'!I106</x:f>
        <x:v>0</x:v>
      </x:c>
      <x:c r="J106" s="3" t="n">
        <x:f>'RAW_센터채널성과'!J106</x:f>
        <x:v>210000</x:v>
      </x:c>
      <x:c r="K106" t="n">
        <x:f>'RAW_센터채널성과'!K106</x:f>
        <x:v>0</x:v>
      </x:c>
      <x:c r="L106" s="4" t="n">
        <x:f>IFERROR(F106/E106,0)</x:f>
        <x:v>0.6447368421052632</x:v>
      </x:c>
      <x:c r="M106" s="4" t="n">
        <x:f>IFERROR(G106/F106,0)</x:f>
        <x:v>0.42857142857142855</x:v>
      </x:c>
      <x:c r="N106" s="4" t="n">
        <x:f>IFERROR(I106/G106,0)</x:f>
        <x:v>0</x:v>
      </x:c>
      <x:c r="O106" s="5" t="n">
        <x:f>IFERROR(H106/J106,0)</x:f>
        <x:v>57.23809523809524</x:v>
      </x:c>
    </x:row>
    <x:row r="107">
      <x:c r="A107" t="str">
        <x:f>'RAW_센터채널성과'!A107</x:f>
        <x:v>2026-04</x:v>
      </x:c>
      <x:c r="B107" t="str">
        <x:f>'RAW_센터채널성과'!B107</x:f>
        <x:v>부산센터</x:v>
      </x:c>
      <x:c r="C107" t="str">
        <x:f>'RAW_센터채널성과'!C107</x:f>
        <x:v>AI 학습관리</x:v>
      </x:c>
      <x:c r="D107" t="str">
        <x:f>'RAW_센터채널성과'!D107</x:f>
        <x:v>네이버광고</x:v>
      </x:c>
      <x:c r="E107" t="n">
        <x:f>'RAW_센터채널성과'!E107</x:f>
        <x:v>24</x:v>
      </x:c>
      <x:c r="F107" t="n">
        <x:f>'RAW_센터채널성과'!F107</x:f>
        <x:v>11</x:v>
      </x:c>
      <x:c r="G107" t="n">
        <x:f>'RAW_센터채널성과'!G107</x:f>
        <x:v>5</x:v>
      </x:c>
      <x:c r="H107" s="3" t="n">
        <x:f>'RAW_센터채널성과'!H107</x:f>
        <x:v>4780000</x:v>
      </x:c>
      <x:c r="I107" s="3" t="n">
        <x:f>'RAW_센터채널성과'!I107</x:f>
        <x:v>0</x:v>
      </x:c>
      <x:c r="J107" s="3" t="n">
        <x:f>'RAW_센터채널성과'!J107</x:f>
        <x:v>390000</x:v>
      </x:c>
      <x:c r="K107" t="n">
        <x:f>'RAW_센터채널성과'!K107</x:f>
        <x:v>0</x:v>
      </x:c>
      <x:c r="L107" s="4" t="n">
        <x:f>IFERROR(F107/E107,0)</x:f>
        <x:v>0.4583333333333333</x:v>
      </x:c>
      <x:c r="M107" s="4" t="n">
        <x:f>IFERROR(G107/F107,0)</x:f>
        <x:v>0.45454545454545453</x:v>
      </x:c>
      <x:c r="N107" s="4" t="n">
        <x:f>IFERROR(I107/G107,0)</x:f>
        <x:v>0</x:v>
      </x:c>
      <x:c r="O107" s="5" t="n">
        <x:f>IFERROR(H107/J107,0)</x:f>
        <x:v>12.256410256410257</x:v>
      </x:c>
    </x:row>
    <x:row r="108">
      <x:c r="A108" t="str">
        <x:f>'RAW_센터채널성과'!A108</x:f>
        <x:v>2026-04</x:v>
      </x:c>
      <x:c r="B108" t="str">
        <x:f>'RAW_센터채널성과'!B108</x:f>
        <x:v>부산센터</x:v>
      </x:c>
      <x:c r="C108" t="str">
        <x:f>'RAW_센터채널성과'!C108</x:f>
        <x:v>고등 입시</x:v>
      </x:c>
      <x:c r="D108" t="str">
        <x:f>'RAW_센터채널성과'!D108</x:f>
        <x:v>지인추천</x:v>
      </x:c>
      <x:c r="E108" t="n">
        <x:f>'RAW_센터채널성과'!E108</x:f>
        <x:v>36</x:v>
      </x:c>
      <x:c r="F108" t="n">
        <x:f>'RAW_센터채널성과'!F108</x:f>
        <x:v>19</x:v>
      </x:c>
      <x:c r="G108" t="n">
        <x:f>'RAW_센터채널성과'!G108</x:f>
        <x:v>10</x:v>
      </x:c>
      <x:c r="H108" s="3" t="n">
        <x:f>'RAW_센터채널성과'!H108</x:f>
        <x:v>9410000</x:v>
      </x:c>
      <x:c r="I108" s="3" t="n">
        <x:f>'RAW_센터채널성과'!I108</x:f>
        <x:v>0</x:v>
      </x:c>
      <x:c r="J108" s="3" t="n">
        <x:f>'RAW_센터채널성과'!J108</x:f>
        <x:v>140000</x:v>
      </x:c>
      <x:c r="K108" t="n">
        <x:f>'RAW_센터채널성과'!K108</x:f>
        <x:v>0</x:v>
      </x:c>
      <x:c r="L108" s="4" t="n">
        <x:f>IFERROR(F108/E108,0)</x:f>
        <x:v>0.5277777777777778</x:v>
      </x:c>
      <x:c r="M108" s="4" t="n">
        <x:f>IFERROR(G108/F108,0)</x:f>
        <x:v>0.5263157894736842</x:v>
      </x:c>
      <x:c r="N108" s="4" t="n">
        <x:f>IFERROR(I108/G108,0)</x:f>
        <x:v>0</x:v>
      </x:c>
      <x:c r="O108" s="5" t="n">
        <x:f>IFERROR(H108/J108,0)</x:f>
        <x:v>67.21428571428571</x:v>
      </x:c>
    </x:row>
    <x:row r="109">
      <x:c r="A109" t="str">
        <x:f>'RAW_센터채널성과'!A109</x:f>
        <x:v>2026-04</x:v>
      </x:c>
      <x:c r="B109" t="str">
        <x:f>'RAW_센터채널성과'!B109</x:f>
        <x:v>부산센터</x:v>
      </x:c>
      <x:c r="C109" t="str">
        <x:f>'RAW_센터채널성과'!C109</x:f>
        <x:v>초등 자기주도</x:v>
      </x:c>
      <x:c r="D109" t="str">
        <x:f>'RAW_센터채널성과'!D109</x:f>
        <x:v>설명회</x:v>
      </x:c>
      <x:c r="E109" t="n">
        <x:f>'RAW_센터채널성과'!E109</x:f>
        <x:v>47</x:v>
      </x:c>
      <x:c r="F109" t="n">
        <x:f>'RAW_센터채널성과'!F109</x:f>
        <x:v>23</x:v>
      </x:c>
      <x:c r="G109" t="n">
        <x:f>'RAW_센터채널성과'!G109</x:f>
        <x:v>9</x:v>
      </x:c>
      <x:c r="H109" s="3" t="n">
        <x:f>'RAW_센터채널성과'!H109</x:f>
        <x:v>8240000</x:v>
      </x:c>
      <x:c r="I109" s="3" t="n">
        <x:f>'RAW_센터채널성과'!I109</x:f>
        <x:v>0</x:v>
      </x:c>
      <x:c r="J109" s="3" t="n">
        <x:f>'RAW_센터채널성과'!J109</x:f>
        <x:v>150000</x:v>
      </x:c>
      <x:c r="K109" t="n">
        <x:f>'RAW_센터채널성과'!K109</x:f>
        <x:v>0</x:v>
      </x:c>
      <x:c r="L109" s="4" t="n">
        <x:f>IFERROR(F109/E109,0)</x:f>
        <x:v>0.48936170212765956</x:v>
      </x:c>
      <x:c r="M109" s="4" t="n">
        <x:f>IFERROR(G109/F109,0)</x:f>
        <x:v>0.391304347826087</x:v>
      </x:c>
      <x:c r="N109" s="4" t="n">
        <x:f>IFERROR(I109/G109,0)</x:f>
        <x:v>0</x:v>
      </x:c>
      <x:c r="O109" s="5" t="n">
        <x:f>IFERROR(H109/J109,0)</x:f>
        <x:v>54.93333333333333</x:v>
      </x:c>
    </x:row>
    <x:row r="110">
      <x:c r="A110" t="str">
        <x:f>'RAW_센터채널성과'!A110</x:f>
        <x:v>2026-05</x:v>
      </x:c>
      <x:c r="B110" t="str">
        <x:f>'RAW_센터채널성과'!B110</x:f>
        <x:v>강남센터</x:v>
      </x:c>
      <x:c r="C110" t="str">
        <x:f>'RAW_센터채널성과'!C110</x:f>
        <x:v>고등 입시</x:v>
      </x:c>
      <x:c r="D110" t="str">
        <x:f>'RAW_센터채널성과'!D110</x:f>
        <x:v>홈페이지</x:v>
      </x:c>
      <x:c r="E110" t="n">
        <x:f>'RAW_센터채널성과'!E110</x:f>
        <x:v>38</x:v>
      </x:c>
      <x:c r="F110" t="n">
        <x:f>'RAW_센터채널성과'!F110</x:f>
        <x:v>18</x:v>
      </x:c>
      <x:c r="G110" t="n">
        <x:f>'RAW_센터채널성과'!G110</x:f>
        <x:v>5</x:v>
      </x:c>
      <x:c r="H110" s="3" t="n">
        <x:f>'RAW_센터채널성과'!H110</x:f>
        <x:v>2520000</x:v>
      </x:c>
      <x:c r="I110" s="3" t="n">
        <x:f>'RAW_센터채널성과'!I110</x:f>
        <x:v>0</x:v>
      </x:c>
      <x:c r="J110" s="3" t="n">
        <x:f>'RAW_센터채널성과'!J110</x:f>
        <x:v>130000</x:v>
      </x:c>
      <x:c r="K110" t="n">
        <x:f>'RAW_센터채널성과'!K110</x:f>
        <x:v>0</x:v>
      </x:c>
      <x:c r="L110" s="4" t="n">
        <x:f>IFERROR(F110/E110,0)</x:f>
        <x:v>0.47368421052631576</x:v>
      </x:c>
      <x:c r="M110" s="4" t="n">
        <x:f>IFERROR(G110/F110,0)</x:f>
        <x:v>0.2777777777777778</x:v>
      </x:c>
      <x:c r="N110" s="4" t="n">
        <x:f>IFERROR(I110/G110,0)</x:f>
        <x:v>0</x:v>
      </x:c>
      <x:c r="O110" s="5" t="n">
        <x:f>IFERROR(H110/J110,0)</x:f>
        <x:v>19.384615384615383</x:v>
      </x:c>
    </x:row>
    <x:row r="111">
      <x:c r="A111" t="str">
        <x:f>'RAW_센터채널성과'!A111</x:f>
        <x:v>2026-05</x:v>
      </x:c>
      <x:c r="B111" t="str">
        <x:f>'RAW_센터채널성과'!B111</x:f>
        <x:v>강남센터</x:v>
      </x:c>
      <x:c r="C111" t="str">
        <x:f>'RAW_센터채널성과'!C111</x:f>
        <x:v>초등 자기주도</x:v>
      </x:c>
      <x:c r="D111" t="str">
        <x:f>'RAW_센터채널성과'!D111</x:f>
        <x:v>블로그</x:v>
      </x:c>
      <x:c r="E111" t="n">
        <x:f>'RAW_센터채널성과'!E111</x:f>
        <x:v>63</x:v>
      </x:c>
      <x:c r="F111" t="n">
        <x:f>'RAW_센터채널성과'!F111</x:f>
        <x:v>37</x:v>
      </x:c>
      <x:c r="G111" t="n">
        <x:f>'RAW_센터채널성과'!G111</x:f>
        <x:v>9</x:v>
      </x:c>
      <x:c r="H111" s="3" t="n">
        <x:f>'RAW_센터채널성과'!H111</x:f>
        <x:v>5090000</x:v>
      </x:c>
      <x:c r="I111" s="3" t="n">
        <x:f>'RAW_센터채널성과'!I111</x:f>
        <x:v>0</x:v>
      </x:c>
      <x:c r="J111" s="3" t="n">
        <x:f>'RAW_센터채널성과'!J111</x:f>
        <x:v>80000</x:v>
      </x:c>
      <x:c r="K111" t="n">
        <x:f>'RAW_센터채널성과'!K111</x:f>
        <x:v>0</x:v>
      </x:c>
      <x:c r="L111" s="4" t="n">
        <x:f>IFERROR(F111/E111,0)</x:f>
        <x:v>0.5873015873015873</x:v>
      </x:c>
      <x:c r="M111" s="4" t="n">
        <x:f>IFERROR(G111/F111,0)</x:f>
        <x:v>0.24324324324324326</x:v>
      </x:c>
      <x:c r="N111" s="4" t="n">
        <x:f>IFERROR(I111/G111,0)</x:f>
        <x:v>0</x:v>
      </x:c>
      <x:c r="O111" s="5" t="n">
        <x:f>IFERROR(H111/J111,0)</x:f>
        <x:v>63.625</x:v>
      </x:c>
    </x:row>
    <x:row r="112">
      <x:c r="A112" t="str">
        <x:f>'RAW_센터채널성과'!A112</x:f>
        <x:v>2026-05</x:v>
      </x:c>
      <x:c r="B112" t="str">
        <x:f>'RAW_센터채널성과'!B112</x:f>
        <x:v>강남센터</x:v>
      </x:c>
      <x:c r="C112" t="str">
        <x:f>'RAW_센터채널성과'!C112</x:f>
        <x:v>학부모 코칭</x:v>
      </x:c>
      <x:c r="D112" t="str">
        <x:f>'RAW_센터채널성과'!D112</x:f>
        <x:v>카카오채널</x:v>
      </x:c>
      <x:c r="E112" t="n">
        <x:f>'RAW_센터채널성과'!E112</x:f>
        <x:v>46</x:v>
      </x:c>
      <x:c r="F112" t="n">
        <x:f>'RAW_센터채널성과'!F112</x:f>
        <x:v>32</x:v>
      </x:c>
      <x:c r="G112" t="n">
        <x:f>'RAW_센터채널성과'!G112</x:f>
        <x:v>10</x:v>
      </x:c>
      <x:c r="H112" s="3" t="n">
        <x:f>'RAW_센터채널성과'!H112</x:f>
        <x:v>5140000</x:v>
      </x:c>
      <x:c r="I112" s="3" t="n">
        <x:f>'RAW_센터채널성과'!I112</x:f>
        <x:v>0</x:v>
      </x:c>
      <x:c r="J112" s="3" t="n">
        <x:f>'RAW_센터채널성과'!J112</x:f>
        <x:v>150000</x:v>
      </x:c>
      <x:c r="K112" t="n">
        <x:f>'RAW_센터채널성과'!K112</x:f>
        <x:v>0</x:v>
      </x:c>
      <x:c r="L112" s="4" t="n">
        <x:f>IFERROR(F112/E112,0)</x:f>
        <x:v>0.6956521739130435</x:v>
      </x:c>
      <x:c r="M112" s="4" t="n">
        <x:f>IFERROR(G112/F112,0)</x:f>
        <x:v>0.3125</x:v>
      </x:c>
      <x:c r="N112" s="4" t="n">
        <x:f>IFERROR(I112/G112,0)</x:f>
        <x:v>0</x:v>
      </x:c>
      <x:c r="O112" s="5" t="n">
        <x:f>IFERROR(H112/J112,0)</x:f>
        <x:v>34.266666666666666</x:v>
      </x:c>
    </x:row>
    <x:row r="113">
      <x:c r="A113" t="str">
        <x:f>'RAW_센터채널성과'!A113</x:f>
        <x:v>2026-05</x:v>
      </x:c>
      <x:c r="B113" t="str">
        <x:f>'RAW_센터채널성과'!B113</x:f>
        <x:v>강남센터</x:v>
      </x:c>
      <x:c r="C113" t="str">
        <x:f>'RAW_센터채널성과'!C113</x:f>
        <x:v>중등 내신</x:v>
      </x:c>
      <x:c r="D113" t="str">
        <x:f>'RAW_센터채널성과'!D113</x:f>
        <x:v>네이버광고</x:v>
      </x:c>
      <x:c r="E113" t="n">
        <x:f>'RAW_센터채널성과'!E113</x:f>
        <x:v>78</x:v>
      </x:c>
      <x:c r="F113" t="n">
        <x:f>'RAW_센터채널성과'!F113</x:f>
        <x:v>53</x:v>
      </x:c>
      <x:c r="G113" t="n">
        <x:f>'RAW_센터채널성과'!G113</x:f>
        <x:v>26</x:v>
      </x:c>
      <x:c r="H113" s="3" t="n">
        <x:f>'RAW_센터채널성과'!H113</x:f>
        <x:v>23240000</x:v>
      </x:c>
      <x:c r="I113" s="3" t="n">
        <x:f>'RAW_센터채널성과'!I113</x:f>
        <x:v>0</x:v>
      </x:c>
      <x:c r="J113" s="3" t="n">
        <x:f>'RAW_센터채널성과'!J113</x:f>
        <x:v>1060000</x:v>
      </x:c>
      <x:c r="K113" t="n">
        <x:f>'RAW_센터채널성과'!K113</x:f>
        <x:v>0</x:v>
      </x:c>
      <x:c r="L113" s="4" t="n">
        <x:f>IFERROR(F113/E113,0)</x:f>
        <x:v>0.6794871794871795</x:v>
      </x:c>
      <x:c r="M113" s="4" t="n">
        <x:f>IFERROR(G113/F113,0)</x:f>
        <x:v>0.49056603773584906</x:v>
      </x:c>
      <x:c r="N113" s="4" t="n">
        <x:f>IFERROR(I113/G113,0)</x:f>
        <x:v>0</x:v>
      </x:c>
      <x:c r="O113" s="5" t="n">
        <x:f>IFERROR(H113/J113,0)</x:f>
        <x:v>21.92452830188679</x:v>
      </x:c>
    </x:row>
    <x:row r="114">
      <x:c r="A114" t="str">
        <x:f>'RAW_센터채널성과'!A114</x:f>
        <x:v>2026-05</x:v>
      </x:c>
      <x:c r="B114" t="str">
        <x:f>'RAW_센터채널성과'!B114</x:f>
        <x:v>강남센터</x:v>
      </x:c>
      <x:c r="C114" t="str">
        <x:f>'RAW_센터채널성과'!C114</x:f>
        <x:v>AI 학습관리</x:v>
      </x:c>
      <x:c r="D114" t="str">
        <x:f>'RAW_센터채널성과'!D114</x:f>
        <x:v>지인추천</x:v>
      </x:c>
      <x:c r="E114" t="n">
        <x:f>'RAW_센터채널성과'!E114</x:f>
        <x:v>64</x:v>
      </x:c>
      <x:c r="F114" t="n">
        <x:f>'RAW_센터채널성과'!F114</x:f>
        <x:v>45</x:v>
      </x:c>
      <x:c r="G114" t="n">
        <x:f>'RAW_센터채널성과'!G114</x:f>
        <x:v>15</x:v>
      </x:c>
      <x:c r="H114" s="3" t="n">
        <x:f>'RAW_센터채널성과'!H114</x:f>
        <x:v>10410000</x:v>
      </x:c>
      <x:c r="I114" s="3" t="n">
        <x:f>'RAW_센터채널성과'!I114</x:f>
        <x:v>0</x:v>
      </x:c>
      <x:c r="J114" s="3" t="n">
        <x:f>'RAW_센터채널성과'!J114</x:f>
        <x:v>240000</x:v>
      </x:c>
      <x:c r="K114" t="n">
        <x:f>'RAW_센터채널성과'!K114</x:f>
        <x:v>0</x:v>
      </x:c>
      <x:c r="L114" s="4" t="n">
        <x:f>IFERROR(F114/E114,0)</x:f>
        <x:v>0.703125</x:v>
      </x:c>
      <x:c r="M114" s="4" t="n">
        <x:f>IFERROR(G114/F114,0)</x:f>
        <x:v>0.3333333333333333</x:v>
      </x:c>
      <x:c r="N114" s="4" t="n">
        <x:f>IFERROR(I114/G114,0)</x:f>
        <x:v>0</x:v>
      </x:c>
      <x:c r="O114" s="5" t="n">
        <x:f>IFERROR(H114/J114,0)</x:f>
        <x:v>43.375</x:v>
      </x:c>
    </x:row>
    <x:row r="115">
      <x:c r="A115" t="str">
        <x:f>'RAW_센터채널성과'!A115</x:f>
        <x:v>2026-05</x:v>
      </x:c>
      <x:c r="B115" t="str">
        <x:f>'RAW_센터채널성과'!B115</x:f>
        <x:v>강남센터</x:v>
      </x:c>
      <x:c r="C115" t="str">
        <x:f>'RAW_센터채널성과'!C115</x:f>
        <x:v>고등 입시</x:v>
      </x:c>
      <x:c r="D115" t="str">
        <x:f>'RAW_센터채널성과'!D115</x:f>
        <x:v>설명회</x:v>
      </x:c>
      <x:c r="E115" t="n">
        <x:f>'RAW_센터채널성과'!E115</x:f>
        <x:v>49</x:v>
      </x:c>
      <x:c r="F115" t="n">
        <x:f>'RAW_센터채널성과'!F115</x:f>
        <x:v>31</x:v>
      </x:c>
      <x:c r="G115" t="n">
        <x:f>'RAW_센터채널성과'!G115</x:f>
        <x:v>8</x:v>
      </x:c>
      <x:c r="H115" s="3" t="n">
        <x:f>'RAW_센터채널성과'!H115</x:f>
        <x:v>4490000</x:v>
      </x:c>
      <x:c r="I115" s="3" t="n">
        <x:f>'RAW_센터채널성과'!I115</x:f>
        <x:v>0</x:v>
      </x:c>
      <x:c r="J115" s="3" t="n">
        <x:f>'RAW_센터채널성과'!J115</x:f>
        <x:v>130000</x:v>
      </x:c>
      <x:c r="K115" t="n">
        <x:f>'RAW_센터채널성과'!K115</x:f>
        <x:v>0</x:v>
      </x:c>
      <x:c r="L115" s="4" t="n">
        <x:f>IFERROR(F115/E115,0)</x:f>
        <x:v>0.6326530612244898</x:v>
      </x:c>
      <x:c r="M115" s="4" t="n">
        <x:f>IFERROR(G115/F115,0)</x:f>
        <x:v>0.25806451612903225</x:v>
      </x:c>
      <x:c r="N115" s="4" t="n">
        <x:f>IFERROR(I115/G115,0)</x:f>
        <x:v>0</x:v>
      </x:c>
      <x:c r="O115" s="5" t="n">
        <x:f>IFERROR(H115/J115,0)</x:f>
        <x:v>34.53846153846154</x:v>
      </x:c>
    </x:row>
    <x:row r="116">
      <x:c r="A116" t="str">
        <x:f>'RAW_센터채널성과'!A116</x:f>
        <x:v>2026-05</x:v>
      </x:c>
      <x:c r="B116" t="str">
        <x:f>'RAW_센터채널성과'!B116</x:f>
        <x:v>분당센터</x:v>
      </x:c>
      <x:c r="C116" t="str">
        <x:f>'RAW_센터채널성과'!C116</x:f>
        <x:v>초등 자기주도</x:v>
      </x:c>
      <x:c r="D116" t="str">
        <x:f>'RAW_센터채널성과'!D116</x:f>
        <x:v>홈페이지</x:v>
      </x:c>
      <x:c r="E116" t="n">
        <x:f>'RAW_센터채널성과'!E116</x:f>
        <x:v>65</x:v>
      </x:c>
      <x:c r="F116" t="n">
        <x:f>'RAW_센터채널성과'!F116</x:f>
        <x:v>37</x:v>
      </x:c>
      <x:c r="G116" t="n">
        <x:f>'RAW_센터채널성과'!G116</x:f>
        <x:v>8</x:v>
      </x:c>
      <x:c r="H116" s="3" t="n">
        <x:f>'RAW_센터채널성과'!H116</x:f>
        <x:v>6370000</x:v>
      </x:c>
      <x:c r="I116" s="3" t="n">
        <x:f>'RAW_센터채널성과'!I116</x:f>
        <x:v>0</x:v>
      </x:c>
      <x:c r="J116" s="3" t="n">
        <x:f>'RAW_센터채널성과'!J116</x:f>
        <x:v>90000</x:v>
      </x:c>
      <x:c r="K116" t="str">
        <x:f>'RAW_센터채널성과'!K116</x:f>
        <x:v>설명회 유입 포함</x:v>
      </x:c>
      <x:c r="L116" s="4" t="n">
        <x:f>IFERROR(F116/E116,0)</x:f>
        <x:v>0.5692307692307692</x:v>
      </x:c>
      <x:c r="M116" s="4" t="n">
        <x:f>IFERROR(G116/F116,0)</x:f>
        <x:v>0.21621621621621623</x:v>
      </x:c>
      <x:c r="N116" s="4" t="n">
        <x:f>IFERROR(I116/G116,0)</x:f>
        <x:v>0</x:v>
      </x:c>
      <x:c r="O116" s="5" t="n">
        <x:f>IFERROR(H116/J116,0)</x:f>
        <x:v>70.77777777777777</x:v>
      </x:c>
    </x:row>
    <x:row r="117">
      <x:c r="A117" t="str">
        <x:f>'RAW_센터채널성과'!A117</x:f>
        <x:v>2026-05</x:v>
      </x:c>
      <x:c r="B117" t="str">
        <x:f>'RAW_센터채널성과'!B117</x:f>
        <x:v>분당센터</x:v>
      </x:c>
      <x:c r="C117" t="str">
        <x:f>'RAW_센터채널성과'!C117</x:f>
        <x:v>학부모 코칭</x:v>
      </x:c>
      <x:c r="D117" t="str">
        <x:f>'RAW_센터채널성과'!D117</x:f>
        <x:v>블로그</x:v>
      </x:c>
      <x:c r="E117" t="n">
        <x:f>'RAW_센터채널성과'!E117</x:f>
        <x:v>62</x:v>
      </x:c>
      <x:c r="F117" t="n">
        <x:f>'RAW_센터채널성과'!F117</x:f>
        <x:v>32</x:v>
      </x:c>
      <x:c r="G117" t="n">
        <x:f>'RAW_센터채널성과'!G117</x:f>
        <x:v>17</x:v>
      </x:c>
      <x:c r="H117" s="3" t="n">
        <x:f>'RAW_센터채널성과'!H117</x:f>
        <x:v>14120000</x:v>
      </x:c>
      <x:c r="I117" s="3" t="n">
        <x:f>'RAW_센터채널성과'!I117</x:f>
        <x:v>0</x:v>
      </x:c>
      <x:c r="J117" s="3" t="n">
        <x:f>'RAW_센터채널성과'!J117</x:f>
        <x:v>130000</x:v>
      </x:c>
      <x:c r="K117" t="n">
        <x:f>'RAW_센터채널성과'!K117</x:f>
        <x:v>0</x:v>
      </x:c>
      <x:c r="L117" s="4" t="n">
        <x:f>IFERROR(F117/E117,0)</x:f>
        <x:v>0.5161290322580645</x:v>
      </x:c>
      <x:c r="M117" s="4" t="n">
        <x:f>IFERROR(G117/F117,0)</x:f>
        <x:v>0.53125</x:v>
      </x:c>
      <x:c r="N117" s="4" t="n">
        <x:f>IFERROR(I117/G117,0)</x:f>
        <x:v>0</x:v>
      </x:c>
      <x:c r="O117" s="5" t="n">
        <x:f>IFERROR(H117/J117,0)</x:f>
        <x:v>108.61538461538461</x:v>
      </x:c>
    </x:row>
    <x:row r="118">
      <x:c r="A118" t="str">
        <x:f>'RAW_센터채널성과'!A118</x:f>
        <x:v>2026-05</x:v>
      </x:c>
      <x:c r="B118" t="str">
        <x:f>'RAW_센터채널성과'!B118</x:f>
        <x:v>분당센터</x:v>
      </x:c>
      <x:c r="C118" t="str">
        <x:f>'RAW_센터채널성과'!C118</x:f>
        <x:v>중등 내신</x:v>
      </x:c>
      <x:c r="D118" t="str">
        <x:f>'RAW_센터채널성과'!D118</x:f>
        <x:v>카카오채널</x:v>
      </x:c>
      <x:c r="E118" t="n">
        <x:f>'RAW_센터채널성과'!E118</x:f>
        <x:v>100</x:v>
      </x:c>
      <x:c r="F118" t="n">
        <x:f>'RAW_센터채널성과'!F118</x:f>
        <x:v>69</x:v>
      </x:c>
      <x:c r="G118" t="n">
        <x:f>'RAW_센터채널성과'!G118</x:f>
        <x:v>15</x:v>
      </x:c>
      <x:c r="H118" s="3" t="n">
        <x:f>'RAW_센터채널성과'!H118</x:f>
        <x:v>9530000</x:v>
      </x:c>
      <x:c r="I118" s="3" t="n">
        <x:f>'RAW_센터채널성과'!I118</x:f>
        <x:v>0</x:v>
      </x:c>
      <x:c r="J118" s="3" t="n">
        <x:f>'RAW_센터채널성과'!J118</x:f>
        <x:v>140000</x:v>
      </x:c>
      <x:c r="K118" t="n">
        <x:f>'RAW_센터채널성과'!K118</x:f>
        <x:v>0</x:v>
      </x:c>
      <x:c r="L118" s="4" t="n">
        <x:f>IFERROR(F118/E118,0)</x:f>
        <x:v>0.69</x:v>
      </x:c>
      <x:c r="M118" s="4" t="n">
        <x:f>IFERROR(G118/F118,0)</x:f>
        <x:v>0.21739130434782608</x:v>
      </x:c>
      <x:c r="N118" s="4" t="n">
        <x:f>IFERROR(I118/G118,0)</x:f>
        <x:v>0</x:v>
      </x:c>
      <x:c r="O118" s="5" t="n">
        <x:f>IFERROR(H118/J118,0)</x:f>
        <x:v>68.07142857142857</x:v>
      </x:c>
    </x:row>
    <x:row r="119">
      <x:c r="A119" t="str">
        <x:f>'RAW_센터채널성과'!A119</x:f>
        <x:v>2026-05</x:v>
      </x:c>
      <x:c r="B119" t="str">
        <x:f>'RAW_센터채널성과'!B119</x:f>
        <x:v>분당센터</x:v>
      </x:c>
      <x:c r="C119" t="str">
        <x:f>'RAW_센터채널성과'!C119</x:f>
        <x:v>AI 학습관리</x:v>
      </x:c>
      <x:c r="D119" t="str">
        <x:f>'RAW_센터채널성과'!D119</x:f>
        <x:v>네이버광고</x:v>
      </x:c>
      <x:c r="E119" t="n">
        <x:f>'RAW_센터채널성과'!E119</x:f>
        <x:v>46</x:v>
      </x:c>
      <x:c r="F119" t="n">
        <x:f>'RAW_센터채널성과'!F119</x:f>
        <x:v>20</x:v>
      </x:c>
      <x:c r="G119" t="n">
        <x:f>'RAW_센터채널성과'!G119</x:f>
        <x:v>8</x:v>
      </x:c>
      <x:c r="H119" s="3" t="n">
        <x:f>'RAW_센터채널성과'!H119</x:f>
        <x:v>6260000</x:v>
      </x:c>
      <x:c r="I119" s="3" t="n">
        <x:f>'RAW_센터채널성과'!I119</x:f>
        <x:v>0</x:v>
      </x:c>
      <x:c r="J119" s="3" t="n">
        <x:f>'RAW_센터채널성과'!J119</x:f>
        <x:v>910000</x:v>
      </x:c>
      <x:c r="K119" t="n">
        <x:f>'RAW_센터채널성과'!K119</x:f>
        <x:v>0</x:v>
      </x:c>
      <x:c r="L119" s="4" t="n">
        <x:f>IFERROR(F119/E119,0)</x:f>
        <x:v>0.43478260869565216</x:v>
      </x:c>
      <x:c r="M119" s="4" t="n">
        <x:f>IFERROR(G119/F119,0)</x:f>
        <x:v>0.4</x:v>
      </x:c>
      <x:c r="N119" s="4" t="n">
        <x:f>IFERROR(I119/G119,0)</x:f>
        <x:v>0</x:v>
      </x:c>
      <x:c r="O119" s="5" t="n">
        <x:f>IFERROR(H119/J119,0)</x:f>
        <x:v>6.8791208791208796</x:v>
      </x:c>
    </x:row>
    <x:row r="120">
      <x:c r="A120" t="str">
        <x:f>'RAW_센터채널성과'!A120</x:f>
        <x:v>2026-05</x:v>
      </x:c>
      <x:c r="B120" t="str">
        <x:f>'RAW_센터채널성과'!B120</x:f>
        <x:v>분당센터</x:v>
      </x:c>
      <x:c r="C120" t="str">
        <x:f>'RAW_센터채널성과'!C120</x:f>
        <x:v>고등 입시</x:v>
      </x:c>
      <x:c r="D120" t="str">
        <x:f>'RAW_센터채널성과'!D120</x:f>
        <x:v>지인추천</x:v>
      </x:c>
      <x:c r="E120" t="n">
        <x:f>'RAW_센터채널성과'!E120</x:f>
        <x:v>100</x:v>
      </x:c>
      <x:c r="F120" t="n">
        <x:f>'RAW_센터채널성과'!F120</x:f>
        <x:v>41</x:v>
      </x:c>
      <x:c r="G120" t="n">
        <x:f>'RAW_센터채널성과'!G120</x:f>
        <x:v>13</x:v>
      </x:c>
      <x:c r="H120" s="3" t="n">
        <x:f>'RAW_센터채널성과'!H120</x:f>
        <x:v>10680000</x:v>
      </x:c>
      <x:c r="I120" s="3" t="n">
        <x:f>'RAW_센터채널성과'!I120</x:f>
        <x:v>0</x:v>
      </x:c>
      <x:c r="J120" s="3" t="n">
        <x:f>'RAW_센터채널성과'!J120</x:f>
        <x:v>230000</x:v>
      </x:c>
      <x:c r="K120" t="n">
        <x:f>'RAW_센터채널성과'!K120</x:f>
        <x:v>0</x:v>
      </x:c>
      <x:c r="L120" s="4" t="n">
        <x:f>IFERROR(F120/E120,0)</x:f>
        <x:v>0.41</x:v>
      </x:c>
      <x:c r="M120" s="4" t="n">
        <x:f>IFERROR(G120/F120,0)</x:f>
        <x:v>0.3170731707317073</x:v>
      </x:c>
      <x:c r="N120" s="4" t="n">
        <x:f>IFERROR(I120/G120,0)</x:f>
        <x:v>0</x:v>
      </x:c>
      <x:c r="O120" s="5" t="n">
        <x:f>IFERROR(H120/J120,0)</x:f>
        <x:v>46.43478260869565</x:v>
      </x:c>
    </x:row>
    <x:row r="121">
      <x:c r="A121" t="str">
        <x:f>'RAW_센터채널성과'!A121</x:f>
        <x:v>2026-05</x:v>
      </x:c>
      <x:c r="B121" t="str">
        <x:f>'RAW_센터채널성과'!B121</x:f>
        <x:v>분당센터</x:v>
      </x:c>
      <x:c r="C121" t="str">
        <x:f>'RAW_센터채널성과'!C121</x:f>
        <x:v>초등 자기주도</x:v>
      </x:c>
      <x:c r="D121" t="str">
        <x:f>'RAW_센터채널성과'!D121</x:f>
        <x:v>설명회</x:v>
      </x:c>
      <x:c r="E121" t="n">
        <x:f>'RAW_센터채널성과'!E121</x:f>
        <x:v>39</x:v>
      </x:c>
      <x:c r="F121" t="n">
        <x:f>'RAW_센터채널성과'!F121</x:f>
        <x:v>22</x:v>
      </x:c>
      <x:c r="G121" t="n">
        <x:f>'RAW_센터채널성과'!G121</x:f>
        <x:v>7</x:v>
      </x:c>
      <x:c r="H121" s="3" t="n">
        <x:f>'RAW_센터채널성과'!H121</x:f>
        <x:v>3780000</x:v>
      </x:c>
      <x:c r="I121" s="3" t="n">
        <x:f>'RAW_센터채널성과'!I121</x:f>
        <x:v>0</x:v>
      </x:c>
      <x:c r="J121" s="3" t="n">
        <x:f>'RAW_센터채널성과'!J121</x:f>
        <x:v>150000</x:v>
      </x:c>
      <x:c r="K121" t="n">
        <x:f>'RAW_센터채널성과'!K121</x:f>
        <x:v>0</x:v>
      </x:c>
      <x:c r="L121" s="4" t="n">
        <x:f>IFERROR(F121/E121,0)</x:f>
        <x:v>0.5641025641025641</x:v>
      </x:c>
      <x:c r="M121" s="4" t="n">
        <x:f>IFERROR(G121/F121,0)</x:f>
        <x:v>0.3181818181818182</x:v>
      </x:c>
      <x:c r="N121" s="4" t="n">
        <x:f>IFERROR(I121/G121,0)</x:f>
        <x:v>0</x:v>
      </x:c>
      <x:c r="O121" s="5" t="n">
        <x:f>IFERROR(H121/J121,0)</x:f>
        <x:v>25.2</x:v>
      </x:c>
    </x:row>
    <x:row r="122">
      <x:c r="A122" t="str">
        <x:f>'RAW_센터채널성과'!A122</x:f>
        <x:v>2026-05</x:v>
      </x:c>
      <x:c r="B122" t="str">
        <x:f>'RAW_센터채널성과'!B122</x:f>
        <x:v>송파센터</x:v>
      </x:c>
      <x:c r="C122" t="str">
        <x:f>'RAW_센터채널성과'!C122</x:f>
        <x:v>학부모 코칭</x:v>
      </x:c>
      <x:c r="D122" t="str">
        <x:f>'RAW_센터채널성과'!D122</x:f>
        <x:v>홈페이지</x:v>
      </x:c>
      <x:c r="E122" t="n">
        <x:f>'RAW_센터채널성과'!E122</x:f>
        <x:v>63</x:v>
      </x:c>
      <x:c r="F122" t="n">
        <x:f>'RAW_센터채널성과'!F122</x:f>
        <x:v>36</x:v>
      </x:c>
      <x:c r="G122" t="n">
        <x:f>'RAW_센터채널성과'!G122</x:f>
        <x:v>12</x:v>
      </x:c>
      <x:c r="H122" s="3" t="n">
        <x:f>'RAW_센터채널성과'!H122</x:f>
        <x:v>10830000</x:v>
      </x:c>
      <x:c r="I122" s="3" t="n">
        <x:f>'RAW_센터채널성과'!I122</x:f>
        <x:v>2</x:v>
      </x:c>
      <x:c r="J122" s="3" t="n">
        <x:f>'RAW_센터채널성과'!J122</x:f>
        <x:v>230000</x:v>
      </x:c>
      <x:c r="K122" t="n">
        <x:f>'RAW_센터채널성과'!K122</x:f>
        <x:v>0</x:v>
      </x:c>
      <x:c r="L122" s="4" t="n">
        <x:f>IFERROR(F122/E122,0)</x:f>
        <x:v>0.5714285714285714</x:v>
      </x:c>
      <x:c r="M122" s="4" t="n">
        <x:f>IFERROR(G122/F122,0)</x:f>
        <x:v>0.3333333333333333</x:v>
      </x:c>
      <x:c r="N122" s="4" t="n">
        <x:f>IFERROR(I122/G122,0)</x:f>
        <x:v>0.16666666666666666</x:v>
      </x:c>
      <x:c r="O122" s="5" t="n">
        <x:f>IFERROR(H122/J122,0)</x:f>
        <x:v>47.08695652173913</x:v>
      </x:c>
    </x:row>
    <x:row r="123">
      <x:c r="A123" t="str">
        <x:f>'RAW_센터채널성과'!A123</x:f>
        <x:v>2026-05</x:v>
      </x:c>
      <x:c r="B123" t="str">
        <x:f>'RAW_센터채널성과'!B123</x:f>
        <x:v>송파센터</x:v>
      </x:c>
      <x:c r="C123" t="str">
        <x:f>'RAW_센터채널성과'!C123</x:f>
        <x:v>고등 입시</x:v>
      </x:c>
      <x:c r="D123" t="str">
        <x:f>'RAW_센터채널성과'!D123</x:f>
        <x:v>블로그</x:v>
      </x:c>
      <x:c r="E123" t="n">
        <x:f>'RAW_센터채널성과'!E123</x:f>
        <x:v>62</x:v>
      </x:c>
      <x:c r="F123" t="n">
        <x:f>'RAW_센터채널성과'!F123</x:f>
        <x:v>25</x:v>
      </x:c>
      <x:c r="G123" t="n">
        <x:f>'RAW_센터채널성과'!G123</x:f>
        <x:v>5</x:v>
      </x:c>
      <x:c r="H123" s="3" t="n">
        <x:f>'RAW_센터채널성과'!H123</x:f>
        <x:v>2830000</x:v>
      </x:c>
      <x:c r="I123" s="3" t="n">
        <x:f>'RAW_센터채널성과'!I123</x:f>
        <x:v>0</x:v>
      </x:c>
      <x:c r="J123" s="3" t="n">
        <x:f>'RAW_센터채널성과'!J123</x:f>
        <x:v>100000</x:v>
      </x:c>
      <x:c r="K123" t="str">
        <x:f>'RAW_센터채널성과'!K123</x:f>
        <x:v>설명회 유입 포함</x:v>
      </x:c>
      <x:c r="L123" s="4" t="n">
        <x:f>IFERROR(F123/E123,0)</x:f>
        <x:v>0.4032258064516129</x:v>
      </x:c>
      <x:c r="M123" s="4" t="n">
        <x:f>IFERROR(G123/F123,0)</x:f>
        <x:v>0.2</x:v>
      </x:c>
      <x:c r="N123" s="4" t="n">
        <x:f>IFERROR(I123/G123,0)</x:f>
        <x:v>0</x:v>
      </x:c>
      <x:c r="O123" s="5" t="n">
        <x:f>IFERROR(H123/J123,0)</x:f>
        <x:v>28.3</x:v>
      </x:c>
    </x:row>
    <x:row r="124">
      <x:c r="A124" t="str">
        <x:f>'RAW_센터채널성과'!A124</x:f>
        <x:v>2026-05</x:v>
      </x:c>
      <x:c r="B124" t="str">
        <x:f>'RAW_센터채널성과'!B124</x:f>
        <x:v>송파센터</x:v>
      </x:c>
      <x:c r="C124" t="str">
        <x:f>'RAW_센터채널성과'!C124</x:f>
        <x:v>초등 자기주도</x:v>
      </x:c>
      <x:c r="D124" t="str">
        <x:f>'RAW_센터채널성과'!D124</x:f>
        <x:v>카카오채널</x:v>
      </x:c>
      <x:c r="E124" t="n">
        <x:f>'RAW_센터채널성과'!E124</x:f>
        <x:v>33</x:v>
      </x:c>
      <x:c r="F124" t="n">
        <x:f>'RAW_센터채널성과'!F124</x:f>
        <x:v>15</x:v>
      </x:c>
      <x:c r="G124" t="n">
        <x:f>'RAW_센터채널성과'!G124</x:f>
        <x:v>5</x:v>
      </x:c>
      <x:c r="H124" s="3" t="n">
        <x:f>'RAW_센터채널성과'!H124</x:f>
        <x:v>4010000</x:v>
      </x:c>
      <x:c r="I124" s="3" t="n">
        <x:f>'RAW_센터채널성과'!I124</x:f>
        <x:v>0</x:v>
      </x:c>
      <x:c r="J124" s="3" t="n">
        <x:f>'RAW_센터채널성과'!J124</x:f>
        <x:v>100000</x:v>
      </x:c>
      <x:c r="K124" t="n">
        <x:f>'RAW_센터채널성과'!K124</x:f>
        <x:v>0</x:v>
      </x:c>
      <x:c r="L124" s="4" t="n">
        <x:f>IFERROR(F124/E124,0)</x:f>
        <x:v>0.45454545454545453</x:v>
      </x:c>
      <x:c r="M124" s="4" t="n">
        <x:f>IFERROR(G124/F124,0)</x:f>
        <x:v>0.3333333333333333</x:v>
      </x:c>
      <x:c r="N124" s="4" t="n">
        <x:f>IFERROR(I124/G124,0)</x:f>
        <x:v>0</x:v>
      </x:c>
      <x:c r="O124" s="5" t="n">
        <x:f>IFERROR(H124/J124,0)</x:f>
        <x:v>40.1</x:v>
      </x:c>
    </x:row>
    <x:row r="125">
      <x:c r="A125" t="str">
        <x:f>'RAW_센터채널성과'!A125</x:f>
        <x:v>2026-05</x:v>
      </x:c>
      <x:c r="B125" t="str">
        <x:f>'RAW_센터채널성과'!B125</x:f>
        <x:v>송파센터</x:v>
      </x:c>
      <x:c r="C125" t="str">
        <x:f>'RAW_센터채널성과'!C125</x:f>
        <x:v>학부모 코칭</x:v>
      </x:c>
      <x:c r="D125" t="str">
        <x:f>'RAW_센터채널성과'!D125</x:f>
        <x:v>네이버광고</x:v>
      </x:c>
      <x:c r="E125" t="n">
        <x:f>'RAW_센터채널성과'!E125</x:f>
        <x:v>42</x:v>
      </x:c>
      <x:c r="F125" t="n">
        <x:f>'RAW_센터채널성과'!F125</x:f>
        <x:v>26</x:v>
      </x:c>
      <x:c r="G125" t="n">
        <x:f>'RAW_센터채널성과'!G125</x:f>
        <x:v>11</x:v>
      </x:c>
      <x:c r="H125" s="3" t="n">
        <x:f>'RAW_센터채널성과'!H125</x:f>
        <x:v>6880000</x:v>
      </x:c>
      <x:c r="I125" s="3" t="n">
        <x:f>'RAW_센터채널성과'!I125</x:f>
        <x:v>0</x:v>
      </x:c>
      <x:c r="J125" s="3" t="n">
        <x:f>'RAW_센터채널성과'!J125</x:f>
        <x:v>510000</x:v>
      </x:c>
      <x:c r="K125" t="n">
        <x:f>'RAW_센터채널성과'!K125</x:f>
        <x:v>0</x:v>
      </x:c>
      <x:c r="L125" s="4" t="n">
        <x:f>IFERROR(F125/E125,0)</x:f>
        <x:v>0.6190476190476191</x:v>
      </x:c>
      <x:c r="M125" s="4" t="n">
        <x:f>IFERROR(G125/F125,0)</x:f>
        <x:v>0.4230769230769231</x:v>
      </x:c>
      <x:c r="N125" s="4" t="n">
        <x:f>IFERROR(I125/G125,0)</x:f>
        <x:v>0</x:v>
      </x:c>
      <x:c r="O125" s="5" t="n">
        <x:f>IFERROR(H125/J125,0)</x:f>
        <x:v>13.490196078431373</x:v>
      </x:c>
    </x:row>
    <x:row r="126">
      <x:c r="A126" t="str">
        <x:f>'RAW_센터채널성과'!A126</x:f>
        <x:v>2026-05</x:v>
      </x:c>
      <x:c r="B126" t="str">
        <x:f>'RAW_센터채널성과'!B126</x:f>
        <x:v>송파센터</x:v>
      </x:c>
      <x:c r="C126" t="str">
        <x:f>'RAW_센터채널성과'!C126</x:f>
        <x:v>중등 내신</x:v>
      </x:c>
      <x:c r="D126" t="str">
        <x:f>'RAW_센터채널성과'!D126</x:f>
        <x:v>지인추천</x:v>
      </x:c>
      <x:c r="E126" t="n">
        <x:f>'RAW_센터채널성과'!E126</x:f>
        <x:v>26</x:v>
      </x:c>
      <x:c r="F126" t="n">
        <x:f>'RAW_센터채널성과'!F126</x:f>
        <x:v>15</x:v>
      </x:c>
      <x:c r="G126" t="n">
        <x:f>'RAW_센터채널성과'!G126</x:f>
        <x:v>3</x:v>
      </x:c>
      <x:c r="H126" s="3" t="n">
        <x:f>'RAW_센터채널성과'!H126</x:f>
        <x:v>1920000</x:v>
      </x:c>
      <x:c r="I126" s="3" t="n">
        <x:f>'RAW_센터채널성과'!I126</x:f>
        <x:v>0</x:v>
      </x:c>
      <x:c r="J126" s="3" t="n">
        <x:f>'RAW_센터채널성과'!J126</x:f>
        <x:v>40000</x:v>
      </x:c>
      <x:c r="K126" t="n">
        <x:f>'RAW_센터채널성과'!K126</x:f>
        <x:v>0</x:v>
      </x:c>
      <x:c r="L126" s="4" t="n">
        <x:f>IFERROR(F126/E126,0)</x:f>
        <x:v>0.5769230769230769</x:v>
      </x:c>
      <x:c r="M126" s="4" t="n">
        <x:f>IFERROR(G126/F126,0)</x:f>
        <x:v>0.2</x:v>
      </x:c>
      <x:c r="N126" s="4" t="n">
        <x:f>IFERROR(I126/G126,0)</x:f>
        <x:v>0</x:v>
      </x:c>
      <x:c r="O126" s="5" t="n">
        <x:f>IFERROR(H126/J126,0)</x:f>
        <x:v>48</x:v>
      </x:c>
    </x:row>
    <x:row r="127">
      <x:c r="A127" t="str">
        <x:f>'RAW_센터채널성과'!A127</x:f>
        <x:v>2026-05</x:v>
      </x:c>
      <x:c r="B127" t="str">
        <x:f>'RAW_센터채널성과'!B127</x:f>
        <x:v>송파센터</x:v>
      </x:c>
      <x:c r="C127" t="str">
        <x:f>'RAW_센터채널성과'!C127</x:f>
        <x:v>AI 학습관리</x:v>
      </x:c>
      <x:c r="D127" t="str">
        <x:f>'RAW_센터채널성과'!D127</x:f>
        <x:v>설명회</x:v>
      </x:c>
      <x:c r="E127" t="n">
        <x:f>'RAW_센터채널성과'!E127</x:f>
        <x:v>79</x:v>
      </x:c>
      <x:c r="F127" t="n">
        <x:f>'RAW_센터채널성과'!F127</x:f>
        <x:v>46</x:v>
      </x:c>
      <x:c r="G127" t="n">
        <x:f>'RAW_센터채널성과'!G127</x:f>
        <x:v>20</x:v>
      </x:c>
      <x:c r="H127" s="3" t="n">
        <x:f>'RAW_센터채널성과'!H127</x:f>
        <x:v>12940000</x:v>
      </x:c>
      <x:c r="I127" s="3" t="n">
        <x:f>'RAW_센터채널성과'!I127</x:f>
        <x:v>0</x:v>
      </x:c>
      <x:c r="J127" s="3" t="n">
        <x:f>'RAW_센터채널성과'!J127</x:f>
        <x:v>210000</x:v>
      </x:c>
      <x:c r="K127" t="n">
        <x:f>'RAW_센터채널성과'!K127</x:f>
        <x:v>0</x:v>
      </x:c>
      <x:c r="L127" s="4" t="n">
        <x:f>IFERROR(F127/E127,0)</x:f>
        <x:v>0.5822784810126582</x:v>
      </x:c>
      <x:c r="M127" s="4" t="n">
        <x:f>IFERROR(G127/F127,0)</x:f>
        <x:v>0.43478260869565216</x:v>
      </x:c>
      <x:c r="N127" s="4" t="n">
        <x:f>IFERROR(I127/G127,0)</x:f>
        <x:v>0</x:v>
      </x:c>
      <x:c r="O127" s="5" t="n">
        <x:f>IFERROR(H127/J127,0)</x:f>
        <x:v>61.61904761904762</x:v>
      </x:c>
    </x:row>
    <x:row r="128">
      <x:c r="A128" t="str">
        <x:f>'RAW_센터채널성과'!A128</x:f>
        <x:v>2026-05</x:v>
      </x:c>
      <x:c r="B128" t="str">
        <x:f>'RAW_센터채널성과'!B128</x:f>
        <x:v>목동센터</x:v>
      </x:c>
      <x:c r="C128" t="str">
        <x:f>'RAW_센터채널성과'!C128</x:f>
        <x:v>고등 입시</x:v>
      </x:c>
      <x:c r="D128" t="str">
        <x:f>'RAW_센터채널성과'!D128</x:f>
        <x:v>홈페이지</x:v>
      </x:c>
      <x:c r="E128" t="n">
        <x:f>'RAW_센터채널성과'!E128</x:f>
        <x:v>73</x:v>
      </x:c>
      <x:c r="F128" t="n">
        <x:f>'RAW_센터채널성과'!F128</x:f>
        <x:v>42</x:v>
      </x:c>
      <x:c r="G128" t="n">
        <x:f>'RAW_센터채널성과'!G128</x:f>
        <x:v>18</x:v>
      </x:c>
      <x:c r="H128" s="3" t="n">
        <x:f>'RAW_센터채널성과'!H128</x:f>
        <x:v>13480000</x:v>
      </x:c>
      <x:c r="I128" s="3" t="n">
        <x:f>'RAW_센터채널성과'!I128</x:f>
        <x:v>0</x:v>
      </x:c>
      <x:c r="J128" s="3" t="n">
        <x:f>'RAW_센터채널성과'!J128</x:f>
        <x:v>200000</x:v>
      </x:c>
      <x:c r="K128" t="n">
        <x:f>'RAW_센터채널성과'!K128</x:f>
        <x:v>0</x:v>
      </x:c>
      <x:c r="L128" s="4" t="n">
        <x:f>IFERROR(F128/E128,0)</x:f>
        <x:v>0.5753424657534246</x:v>
      </x:c>
      <x:c r="M128" s="4" t="n">
        <x:f>IFERROR(G128/F128,0)</x:f>
        <x:v>0.42857142857142855</x:v>
      </x:c>
      <x:c r="N128" s="4" t="n">
        <x:f>IFERROR(I128/G128,0)</x:f>
        <x:v>0</x:v>
      </x:c>
      <x:c r="O128" s="5" t="n">
        <x:f>IFERROR(H128/J128,0)</x:f>
        <x:v>67.4</x:v>
      </x:c>
    </x:row>
    <x:row r="129">
      <x:c r="A129" t="str">
        <x:f>'RAW_센터채널성과'!A129</x:f>
        <x:v>2026-05</x:v>
      </x:c>
      <x:c r="B129" t="str">
        <x:f>'RAW_센터채널성과'!B129</x:f>
        <x:v>목동센터</x:v>
      </x:c>
      <x:c r="C129" t="str">
        <x:f>'RAW_센터채널성과'!C129</x:f>
        <x:v>초등 자기주도</x:v>
      </x:c>
      <x:c r="D129" t="str">
        <x:f>'RAW_센터채널성과'!D129</x:f>
        <x:v>블로그</x:v>
      </x:c>
      <x:c r="E129" t="n">
        <x:f>'RAW_센터채널성과'!E129</x:f>
        <x:v>103</x:v>
      </x:c>
      <x:c r="F129" t="n">
        <x:f>'RAW_센터채널성과'!F129</x:f>
        <x:v>55</x:v>
      </x:c>
      <x:c r="G129" t="n">
        <x:f>'RAW_센터채널성과'!G129</x:f>
        <x:v>25</x:v>
      </x:c>
      <x:c r="H129" s="3" t="n">
        <x:f>'RAW_센터채널성과'!H129</x:f>
        <x:v>19230000</x:v>
      </x:c>
      <x:c r="I129" s="3" t="n">
        <x:f>'RAW_센터채널성과'!I129</x:f>
        <x:v>0</x:v>
      </x:c>
      <x:c r="J129" s="3" t="n">
        <x:f>'RAW_센터채널성과'!J129</x:f>
        <x:v>160000</x:v>
      </x:c>
      <x:c r="K129" t="n">
        <x:f>'RAW_센터채널성과'!K129</x:f>
        <x:v>0</x:v>
      </x:c>
      <x:c r="L129" s="4" t="n">
        <x:f>IFERROR(F129/E129,0)</x:f>
        <x:v>0.5339805825242718</x:v>
      </x:c>
      <x:c r="M129" s="4" t="n">
        <x:f>IFERROR(G129/F129,0)</x:f>
        <x:v>0.45454545454545453</x:v>
      </x:c>
      <x:c r="N129" s="4" t="n">
        <x:f>IFERROR(I129/G129,0)</x:f>
        <x:v>0</x:v>
      </x:c>
      <x:c r="O129" s="5" t="n">
        <x:f>IFERROR(H129/J129,0)</x:f>
        <x:v>120.1875</x:v>
      </x:c>
    </x:row>
    <x:row r="130">
      <x:c r="A130" t="str">
        <x:f>'RAW_센터채널성과'!A130</x:f>
        <x:v>2026-05</x:v>
      </x:c>
      <x:c r="B130" t="str">
        <x:f>'RAW_센터채널성과'!B130</x:f>
        <x:v>목동센터</x:v>
      </x:c>
      <x:c r="C130" t="str">
        <x:f>'RAW_센터채널성과'!C130</x:f>
        <x:v>학부모 코칭</x:v>
      </x:c>
      <x:c r="D130" t="str">
        <x:f>'RAW_센터채널성과'!D130</x:f>
        <x:v>카카오채널</x:v>
      </x:c>
      <x:c r="E130" t="n">
        <x:f>'RAW_센터채널성과'!E130</x:f>
        <x:v>68</x:v>
      </x:c>
      <x:c r="F130" t="n">
        <x:f>'RAW_센터채널성과'!F130</x:f>
        <x:v>31</x:v>
      </x:c>
      <x:c r="G130" t="n">
        <x:f>'RAW_센터채널성과'!G130</x:f>
        <x:v>12</x:v>
      </x:c>
      <x:c r="H130" s="3" t="n">
        <x:f>'RAW_센터채널성과'!H130</x:f>
        <x:v>9930000</x:v>
      </x:c>
      <x:c r="I130" s="3" t="n">
        <x:f>'RAW_센터채널성과'!I130</x:f>
        <x:v>0</x:v>
      </x:c>
      <x:c r="J130" s="3" t="n">
        <x:f>'RAW_센터채널성과'!J130</x:f>
        <x:v>250000</x:v>
      </x:c>
      <x:c r="K130" t="n">
        <x:f>'RAW_센터채널성과'!K130</x:f>
        <x:v>0</x:v>
      </x:c>
      <x:c r="L130" s="4" t="n">
        <x:f>IFERROR(F130/E130,0)</x:f>
        <x:v>0.45588235294117646</x:v>
      </x:c>
      <x:c r="M130" s="4" t="n">
        <x:f>IFERROR(G130/F130,0)</x:f>
        <x:v>0.3870967741935484</x:v>
      </x:c>
      <x:c r="N130" s="4" t="n">
        <x:f>IFERROR(I130/G130,0)</x:f>
        <x:v>0</x:v>
      </x:c>
      <x:c r="O130" s="5" t="n">
        <x:f>IFERROR(H130/J130,0)</x:f>
        <x:v>39.72</x:v>
      </x:c>
    </x:row>
    <x:row r="131">
      <x:c r="A131" t="str">
        <x:f>'RAW_센터채널성과'!A131</x:f>
        <x:v>2026-05</x:v>
      </x:c>
      <x:c r="B131" t="str">
        <x:f>'RAW_센터채널성과'!B131</x:f>
        <x:v>목동센터</x:v>
      </x:c>
      <x:c r="C131" t="str">
        <x:f>'RAW_센터채널성과'!C131</x:f>
        <x:v>중등 내신</x:v>
      </x:c>
      <x:c r="D131" t="str">
        <x:f>'RAW_센터채널성과'!D131</x:f>
        <x:v>네이버광고</x:v>
      </x:c>
      <x:c r="E131" t="n">
        <x:f>'RAW_센터채널성과'!E131</x:f>
        <x:v>45</x:v>
      </x:c>
      <x:c r="F131" t="n">
        <x:f>'RAW_센터채널성과'!F131</x:f>
        <x:v>19</x:v>
      </x:c>
      <x:c r="G131" t="n">
        <x:f>'RAW_센터채널성과'!G131</x:f>
        <x:v>3</x:v>
      </x:c>
      <x:c r="H131" s="3" t="n">
        <x:f>'RAW_센터채널성과'!H131</x:f>
        <x:v>1580000</x:v>
      </x:c>
      <x:c r="I131" s="3" t="n">
        <x:f>'RAW_센터채널성과'!I131</x:f>
        <x:v>0</x:v>
      </x:c>
      <x:c r="J131" s="3" t="n">
        <x:f>'RAW_센터채널성과'!J131</x:f>
        <x:v>840000</x:v>
      </x:c>
      <x:c r="K131" t="n">
        <x:f>'RAW_센터채널성과'!K131</x:f>
        <x:v>0</x:v>
      </x:c>
      <x:c r="L131" s="4" t="n">
        <x:f>IFERROR(F131/E131,0)</x:f>
        <x:v>0.4222222222222222</x:v>
      </x:c>
      <x:c r="M131" s="4" t="n">
        <x:f>IFERROR(G131/F131,0)</x:f>
        <x:v>0.15789473684210525</x:v>
      </x:c>
      <x:c r="N131" s="4" t="n">
        <x:f>IFERROR(I131/G131,0)</x:f>
        <x:v>0</x:v>
      </x:c>
      <x:c r="O131" s="5" t="n">
        <x:f>IFERROR(H131/J131,0)</x:f>
        <x:v>1.880952380952381</x:v>
      </x:c>
    </x:row>
    <x:row r="132">
      <x:c r="A132" t="str">
        <x:f>'RAW_센터채널성과'!A132</x:f>
        <x:v>2026-05</x:v>
      </x:c>
      <x:c r="B132" t="str">
        <x:f>'RAW_센터채널성과'!B132</x:f>
        <x:v>목동센터</x:v>
      </x:c>
      <x:c r="C132" t="str">
        <x:f>'RAW_센터채널성과'!C132</x:f>
        <x:v>AI 학습관리</x:v>
      </x:c>
      <x:c r="D132" t="str">
        <x:f>'RAW_센터채널성과'!D132</x:f>
        <x:v>지인추천</x:v>
      </x:c>
      <x:c r="E132" t="n">
        <x:f>'RAW_센터채널성과'!E132</x:f>
        <x:v>85</x:v>
      </x:c>
      <x:c r="F132" t="n">
        <x:f>'RAW_센터채널성과'!F132</x:f>
        <x:v>57</x:v>
      </x:c>
      <x:c r="G132" t="n">
        <x:f>'RAW_센터채널성과'!G132</x:f>
        <x:v>14</x:v>
      </x:c>
      <x:c r="H132" s="3" t="n">
        <x:f>'RAW_센터채널성과'!H132</x:f>
        <x:v>9450000</x:v>
      </x:c>
      <x:c r="I132" s="3" t="n">
        <x:f>'RAW_센터채널성과'!I132</x:f>
        <x:v>0</x:v>
      </x:c>
      <x:c r="J132" s="3" t="n">
        <x:f>'RAW_센터채널성과'!J132</x:f>
        <x:v>170000</x:v>
      </x:c>
      <x:c r="K132" t="n">
        <x:f>'RAW_센터채널성과'!K132</x:f>
        <x:v>0</x:v>
      </x:c>
      <x:c r="L132" s="4" t="n">
        <x:f>IFERROR(F132/E132,0)</x:f>
        <x:v>0.6705882352941176</x:v>
      </x:c>
      <x:c r="M132" s="4" t="n">
        <x:f>IFERROR(G132/F132,0)</x:f>
        <x:v>0.24561403508771928</x:v>
      </x:c>
      <x:c r="N132" s="4" t="n">
        <x:f>IFERROR(I132/G132,0)</x:f>
        <x:v>0</x:v>
      </x:c>
      <x:c r="O132" s="5" t="n">
        <x:f>IFERROR(H132/J132,0)</x:f>
        <x:v>55.588235294117645</x:v>
      </x:c>
    </x:row>
    <x:row r="133">
      <x:c r="A133" t="str">
        <x:f>'RAW_센터채널성과'!A133</x:f>
        <x:v>2026-05</x:v>
      </x:c>
      <x:c r="B133" t="str">
        <x:f>'RAW_센터채널성과'!B133</x:f>
        <x:v>목동센터</x:v>
      </x:c>
      <x:c r="C133" t="str">
        <x:f>'RAW_센터채널성과'!C133</x:f>
        <x:v>고등 입시</x:v>
      </x:c>
      <x:c r="D133" t="str">
        <x:f>'RAW_센터채널성과'!D133</x:f>
        <x:v>설명회</x:v>
      </x:c>
      <x:c r="E133" t="n">
        <x:f>'RAW_센터채널성과'!E133</x:f>
        <x:v>63</x:v>
      </x:c>
      <x:c r="F133" t="n">
        <x:f>'RAW_센터채널성과'!F133</x:f>
        <x:v>37</x:v>
      </x:c>
      <x:c r="G133" t="n">
        <x:f>'RAW_센터채널성과'!G133</x:f>
        <x:v>10</x:v>
      </x:c>
      <x:c r="H133" s="3" t="n">
        <x:f>'RAW_센터채널성과'!H133</x:f>
        <x:v>6260000</x:v>
      </x:c>
      <x:c r="I133" s="3" t="n">
        <x:f>'RAW_센터채널성과'!I133</x:f>
        <x:v>0</x:v>
      </x:c>
      <x:c r="J133" s="3" t="n">
        <x:f>'RAW_센터채널성과'!J133</x:f>
        <x:v>230000</x:v>
      </x:c>
      <x:c r="K133" t="n">
        <x:f>'RAW_센터채널성과'!K133</x:f>
        <x:v>0</x:v>
      </x:c>
      <x:c r="L133" s="4" t="n">
        <x:f>IFERROR(F133/E133,0)</x:f>
        <x:v>0.5873015873015873</x:v>
      </x:c>
      <x:c r="M133" s="4" t="n">
        <x:f>IFERROR(G133/F133,0)</x:f>
        <x:v>0.2702702702702703</x:v>
      </x:c>
      <x:c r="N133" s="4" t="n">
        <x:f>IFERROR(I133/G133,0)</x:f>
        <x:v>0</x:v>
      </x:c>
      <x:c r="O133" s="5" t="n">
        <x:f>IFERROR(H133/J133,0)</x:f>
        <x:v>27.217391304347824</x:v>
      </x:c>
    </x:row>
    <x:row r="134">
      <x:c r="A134" t="str">
        <x:f>'RAW_센터채널성과'!A134</x:f>
        <x:v>2026-05</x:v>
      </x:c>
      <x:c r="B134" t="str">
        <x:f>'RAW_센터채널성과'!B134</x:f>
        <x:v>대전센터</x:v>
      </x:c>
      <x:c r="C134" t="str">
        <x:f>'RAW_센터채널성과'!C134</x:f>
        <x:v>초등 자기주도</x:v>
      </x:c>
      <x:c r="D134" t="str">
        <x:f>'RAW_센터채널성과'!D134</x:f>
        <x:v>홈페이지</x:v>
      </x:c>
      <x:c r="E134" t="n">
        <x:f>'RAW_센터채널성과'!E134</x:f>
        <x:v>99</x:v>
      </x:c>
      <x:c r="F134" t="n">
        <x:f>'RAW_센터채널성과'!F134</x:f>
        <x:v>64</x:v>
      </x:c>
      <x:c r="G134" t="n">
        <x:f>'RAW_센터채널성과'!G134</x:f>
        <x:v>32</x:v>
      </x:c>
      <x:c r="H134" s="3" t="n">
        <x:f>'RAW_센터채널성과'!H134</x:f>
        <x:v>31240000</x:v>
      </x:c>
      <x:c r="I134" s="3" t="n">
        <x:f>'RAW_센터채널성과'!I134</x:f>
        <x:v>2</x:v>
      </x:c>
      <x:c r="J134" s="3" t="n">
        <x:f>'RAW_센터채널성과'!J134</x:f>
        <x:v>270000</x:v>
      </x:c>
      <x:c r="K134" t="n">
        <x:f>'RAW_센터채널성과'!K134</x:f>
        <x:v>0</x:v>
      </x:c>
      <x:c r="L134" s="4" t="n">
        <x:f>IFERROR(F134/E134,0)</x:f>
        <x:v>0.6464646464646465</x:v>
      </x:c>
      <x:c r="M134" s="4" t="n">
        <x:f>IFERROR(G134/F134,0)</x:f>
        <x:v>0.5</x:v>
      </x:c>
      <x:c r="N134" s="4" t="n">
        <x:f>IFERROR(I134/G134,0)</x:f>
        <x:v>0.0625</x:v>
      </x:c>
      <x:c r="O134" s="5" t="n">
        <x:f>IFERROR(H134/J134,0)</x:f>
        <x:v>115.70370370370371</x:v>
      </x:c>
    </x:row>
    <x:row r="135">
      <x:c r="A135" t="str">
        <x:f>'RAW_센터채널성과'!A135</x:f>
        <x:v>2026-05</x:v>
      </x:c>
      <x:c r="B135" t="str">
        <x:f>'RAW_센터채널성과'!B135</x:f>
        <x:v>대전센터</x:v>
      </x:c>
      <x:c r="C135" t="str">
        <x:f>'RAW_센터채널성과'!C135</x:f>
        <x:v>AI 학습관리</x:v>
      </x:c>
      <x:c r="D135" t="str">
        <x:f>'RAW_센터채널성과'!D135</x:f>
        <x:v>블로그</x:v>
      </x:c>
      <x:c r="E135" t="n">
        <x:f>'RAW_센터채널성과'!E135</x:f>
        <x:v>60</x:v>
      </x:c>
      <x:c r="F135" t="n">
        <x:f>'RAW_센터채널성과'!F135</x:f>
        <x:v>34</x:v>
      </x:c>
      <x:c r="G135" t="n">
        <x:f>'RAW_센터채널성과'!G135</x:f>
        <x:v>17</x:v>
      </x:c>
      <x:c r="H135" s="3" t="n">
        <x:f>'RAW_센터채널성과'!H135</x:f>
        <x:v>16310000</x:v>
      </x:c>
      <x:c r="I135" s="3" t="n">
        <x:f>'RAW_센터채널성과'!I135</x:f>
        <x:v>1</x:v>
      </x:c>
      <x:c r="J135" s="3" t="n">
        <x:f>'RAW_센터채널성과'!J135</x:f>
        <x:v>220000</x:v>
      </x:c>
      <x:c r="K135" t="n">
        <x:f>'RAW_센터채널성과'!K135</x:f>
        <x:v>0</x:v>
      </x:c>
      <x:c r="L135" s="4" t="n">
        <x:f>IFERROR(F135/E135,0)</x:f>
        <x:v>0.5666666666666667</x:v>
      </x:c>
      <x:c r="M135" s="4" t="n">
        <x:f>IFERROR(G135/F135,0)</x:f>
        <x:v>0.5</x:v>
      </x:c>
      <x:c r="N135" s="4" t="n">
        <x:f>IFERROR(I135/G135,0)</x:f>
        <x:v>0.058823529411764705</x:v>
      </x:c>
      <x:c r="O135" s="5" t="n">
        <x:f>IFERROR(H135/J135,0)</x:f>
        <x:v>74.13636363636364</x:v>
      </x:c>
    </x:row>
    <x:row r="136">
      <x:c r="A136" t="str">
        <x:f>'RAW_센터채널성과'!A136</x:f>
        <x:v>2026-05</x:v>
      </x:c>
      <x:c r="B136" t="str">
        <x:f>'RAW_센터채널성과'!B136</x:f>
        <x:v>대전센터</x:v>
      </x:c>
      <x:c r="C136" t="str">
        <x:f>'RAW_센터채널성과'!C136</x:f>
        <x:v>학부모 코칭</x:v>
      </x:c>
      <x:c r="D136" t="str">
        <x:f>'RAW_센터채널성과'!D136</x:f>
        <x:v>카카오채널</x:v>
      </x:c>
      <x:c r="E136" t="n">
        <x:f>'RAW_센터채널성과'!E136</x:f>
        <x:v>95</x:v>
      </x:c>
      <x:c r="F136" t="n">
        <x:f>'RAW_센터채널성과'!F136</x:f>
        <x:v>64</x:v>
      </x:c>
      <x:c r="G136" t="n">
        <x:f>'RAW_센터채널성과'!G136</x:f>
        <x:v>29</x:v>
      </x:c>
      <x:c r="H136" s="3" t="n">
        <x:f>'RAW_센터채널성과'!H136</x:f>
        <x:v>19530000</x:v>
      </x:c>
      <x:c r="I136" s="3" t="n">
        <x:f>'RAW_센터채널성과'!I136</x:f>
        <x:v>0</x:v>
      </x:c>
      <x:c r="J136" s="3" t="n">
        <x:f>'RAW_센터채널성과'!J136</x:f>
        <x:v>130000</x:v>
      </x:c>
      <x:c r="K136" t="n">
        <x:f>'RAW_센터채널성과'!K136</x:f>
        <x:v>0</x:v>
      </x:c>
      <x:c r="L136" s="4" t="n">
        <x:f>IFERROR(F136/E136,0)</x:f>
        <x:v>0.6736842105263158</x:v>
      </x:c>
      <x:c r="M136" s="4" t="n">
        <x:f>IFERROR(G136/F136,0)</x:f>
        <x:v>0.453125</x:v>
      </x:c>
      <x:c r="N136" s="4" t="n">
        <x:f>IFERROR(I136/G136,0)</x:f>
        <x:v>0</x:v>
      </x:c>
      <x:c r="O136" s="5" t="n">
        <x:f>IFERROR(H136/J136,0)</x:f>
        <x:v>150.23076923076923</x:v>
      </x:c>
    </x:row>
    <x:row r="137">
      <x:c r="A137" t="str">
        <x:f>'RAW_센터채널성과'!A137</x:f>
        <x:v>2026-05</x:v>
      </x:c>
      <x:c r="B137" t="str">
        <x:f>'RAW_센터채널성과'!B137</x:f>
        <x:v>대전센터</x:v>
      </x:c>
      <x:c r="C137" t="str">
        <x:f>'RAW_센터채널성과'!C137</x:f>
        <x:v>중등 내신</x:v>
      </x:c>
      <x:c r="D137" t="str">
        <x:f>'RAW_센터채널성과'!D137</x:f>
        <x:v>네이버광고</x:v>
      </x:c>
      <x:c r="E137" t="n">
        <x:f>'RAW_센터채널성과'!E137</x:f>
        <x:v>85</x:v>
      </x:c>
      <x:c r="F137" t="n">
        <x:f>'RAW_센터채널성과'!F137</x:f>
        <x:v>36</x:v>
      </x:c>
      <x:c r="G137" t="n">
        <x:f>'RAW_센터채널성과'!G137</x:f>
        <x:v>13</x:v>
      </x:c>
      <x:c r="H137" s="3" t="n">
        <x:f>'RAW_센터채널성과'!H137</x:f>
        <x:v>9070000</x:v>
      </x:c>
      <x:c r="I137" s="3" t="n">
        <x:f>'RAW_센터채널성과'!I137</x:f>
        <x:v>0</x:v>
      </x:c>
      <x:c r="J137" s="3" t="n">
        <x:f>'RAW_센터채널성과'!J137</x:f>
        <x:v>1160000</x:v>
      </x:c>
      <x:c r="K137" t="n">
        <x:f>'RAW_센터채널성과'!K137</x:f>
        <x:v>0</x:v>
      </x:c>
      <x:c r="L137" s="4" t="n">
        <x:f>IFERROR(F137/E137,0)</x:f>
        <x:v>0.4235294117647059</x:v>
      </x:c>
      <x:c r="M137" s="4" t="n">
        <x:f>IFERROR(G137/F137,0)</x:f>
        <x:v>0.3611111111111111</x:v>
      </x:c>
      <x:c r="N137" s="4" t="n">
        <x:f>IFERROR(I137/G137,0)</x:f>
        <x:v>0</x:v>
      </x:c>
      <x:c r="O137" s="5" t="n">
        <x:f>IFERROR(H137/J137,0)</x:f>
        <x:v>7.818965517241379</x:v>
      </x:c>
    </x:row>
    <x:row r="138">
      <x:c r="A138" t="str">
        <x:f>'RAW_센터채널성과'!A138</x:f>
        <x:v>2026-05</x:v>
      </x:c>
      <x:c r="B138" t="str">
        <x:f>'RAW_센터채널성과'!B138</x:f>
        <x:v>대전센터</x:v>
      </x:c>
      <x:c r="C138" t="str">
        <x:f>'RAW_센터채널성과'!C138</x:f>
        <x:v>AI 학습관리</x:v>
      </x:c>
      <x:c r="D138" t="str">
        <x:f>'RAW_센터채널성과'!D138</x:f>
        <x:v>지인추천</x:v>
      </x:c>
      <x:c r="E138" t="n">
        <x:f>'RAW_센터채널성과'!E138</x:f>
        <x:v>78</x:v>
      </x:c>
      <x:c r="F138" t="n">
        <x:f>'RAW_센터채널성과'!F138</x:f>
        <x:v>44</x:v>
      </x:c>
      <x:c r="G138" t="n">
        <x:f>'RAW_센터채널성과'!G138</x:f>
        <x:v>11</x:v>
      </x:c>
      <x:c r="H138" s="3" t="n">
        <x:f>'RAW_센터채널성과'!H138</x:f>
        <x:v>7170000</x:v>
      </x:c>
      <x:c r="I138" s="3" t="n">
        <x:f>'RAW_센터채널성과'!I138</x:f>
        <x:v>0</x:v>
      </x:c>
      <x:c r="J138" s="3" t="n">
        <x:f>'RAW_센터채널성과'!J138</x:f>
        <x:v>170000</x:v>
      </x:c>
      <x:c r="K138" t="str">
        <x:f>'RAW_센터채널성과'!K138</x:f>
        <x:v>센터명 표기 확인 필요</x:v>
      </x:c>
      <x:c r="L138" s="4" t="n">
        <x:f>IFERROR(F138/E138,0)</x:f>
        <x:v>0.5641025641025641</x:v>
      </x:c>
      <x:c r="M138" s="4" t="n">
        <x:f>IFERROR(G138/F138,0)</x:f>
        <x:v>0.25</x:v>
      </x:c>
      <x:c r="N138" s="4" t="n">
        <x:f>IFERROR(I138/G138,0)</x:f>
        <x:v>0</x:v>
      </x:c>
      <x:c r="O138" s="5" t="n">
        <x:f>IFERROR(H138/J138,0)</x:f>
        <x:v>42.1764705882353</x:v>
      </x:c>
    </x:row>
    <x:row r="139">
      <x:c r="A139" t="str">
        <x:f>'RAW_센터채널성과'!A139</x:f>
        <x:v>2026-05</x:v>
      </x:c>
      <x:c r="B139" t="str">
        <x:f>'RAW_센터채널성과'!B139</x:f>
        <x:v>대전센터</x:v>
      </x:c>
      <x:c r="C139" t="str">
        <x:f>'RAW_센터채널성과'!C139</x:f>
        <x:v>고등 입시</x:v>
      </x:c>
      <x:c r="D139" t="str">
        <x:f>'RAW_센터채널성과'!D139</x:f>
        <x:v>설명회</x:v>
      </x:c>
      <x:c r="E139" t="n">
        <x:f>'RAW_센터채널성과'!E139</x:f>
        <x:v>32</x:v>
      </x:c>
      <x:c r="F139" t="n">
        <x:f>'RAW_센터채널성과'!F139</x:f>
        <x:v>21</x:v>
      </x:c>
      <x:c r="G139" t="n">
        <x:f>'RAW_센터채널성과'!G139</x:f>
        <x:v>6</x:v>
      </x:c>
      <x:c r="H139" s="3" t="n">
        <x:f>'RAW_센터채널성과'!H139</x:f>
        <x:v>3670000</x:v>
      </x:c>
      <x:c r="I139" s="3" t="n">
        <x:f>'RAW_센터채널성과'!I139</x:f>
        <x:v>0</x:v>
      </x:c>
      <x:c r="J139" s="3" t="n">
        <x:f>'RAW_센터채널성과'!J139</x:f>
        <x:v>60000</x:v>
      </x:c>
      <x:c r="K139" t="n">
        <x:f>'RAW_센터채널성과'!K139</x:f>
        <x:v>0</x:v>
      </x:c>
      <x:c r="L139" s="4" t="n">
        <x:f>IFERROR(F139/E139,0)</x:f>
        <x:v>0.65625</x:v>
      </x:c>
      <x:c r="M139" s="4" t="n">
        <x:f>IFERROR(G139/F139,0)</x:f>
        <x:v>0.2857142857142857</x:v>
      </x:c>
      <x:c r="N139" s="4" t="n">
        <x:f>IFERROR(I139/G139,0)</x:f>
        <x:v>0</x:v>
      </x:c>
      <x:c r="O139" s="5" t="n">
        <x:f>IFERROR(H139/J139,0)</x:f>
        <x:v>61.166666666666664</x:v>
      </x:c>
    </x:row>
    <x:row r="140">
      <x:c r="A140" t="str">
        <x:f>'RAW_센터채널성과'!A140</x:f>
        <x:v>2026-05</x:v>
      </x:c>
      <x:c r="B140" t="str">
        <x:f>'RAW_센터채널성과'!B140</x:f>
        <x:v>부산센터</x:v>
      </x:c>
      <x:c r="C140" t="str">
        <x:f>'RAW_센터채널성과'!C140</x:f>
        <x:v>초등 자기주도</x:v>
      </x:c>
      <x:c r="D140" t="str">
        <x:f>'RAW_센터채널성과'!D140</x:f>
        <x:v>홈페이지</x:v>
      </x:c>
      <x:c r="E140" t="n">
        <x:f>'RAW_센터채널성과'!E140</x:f>
        <x:v>87</x:v>
      </x:c>
      <x:c r="F140" t="n">
        <x:f>'RAW_센터채널성과'!F140</x:f>
        <x:v>58</x:v>
      </x:c>
      <x:c r="G140" t="n">
        <x:f>'RAW_센터채널성과'!G140</x:f>
        <x:v>24</x:v>
      </x:c>
      <x:c r="H140" s="3" t="n">
        <x:f>'RAW_센터채널성과'!H140</x:f>
        <x:v>18810000</x:v>
      </x:c>
      <x:c r="I140" s="3" t="n">
        <x:f>'RAW_센터채널성과'!I140</x:f>
        <x:v>0</x:v>
      </x:c>
      <x:c r="J140" s="3" t="n">
        <x:f>'RAW_센터채널성과'!J140</x:f>
        <x:v>280000</x:v>
      </x:c>
      <x:c r="K140" t="str">
        <x:f>'RAW_센터채널성과'!K140</x:f>
        <x:v>설명회 유입 포함</x:v>
      </x:c>
      <x:c r="L140" s="4" t="n">
        <x:f>IFERROR(F140/E140,0)</x:f>
        <x:v>0.6666666666666666</x:v>
      </x:c>
      <x:c r="M140" s="4" t="n">
        <x:f>IFERROR(G140/F140,0)</x:f>
        <x:v>0.41379310344827586</x:v>
      </x:c>
      <x:c r="N140" s="4" t="n">
        <x:f>IFERROR(I140/G140,0)</x:f>
        <x:v>0</x:v>
      </x:c>
      <x:c r="O140" s="5" t="n">
        <x:f>IFERROR(H140/J140,0)</x:f>
        <x:v>67.17857142857143</x:v>
      </x:c>
    </x:row>
    <x:row r="141">
      <x:c r="A141" t="str">
        <x:f>'RAW_센터채널성과'!A141</x:f>
        <x:v>2026-05</x:v>
      </x:c>
      <x:c r="B141" t="str">
        <x:f>'RAW_센터채널성과'!B141</x:f>
        <x:v>부산센터</x:v>
      </x:c>
      <x:c r="C141" t="str">
        <x:f>'RAW_센터채널성과'!C141</x:f>
        <x:v>학부모 코칭</x:v>
      </x:c>
      <x:c r="D141" t="str">
        <x:f>'RAW_센터채널성과'!D141</x:f>
        <x:v>블로그</x:v>
      </x:c>
      <x:c r="E141" t="n">
        <x:f>'RAW_센터채널성과'!E141</x:f>
        <x:v>73</x:v>
      </x:c>
      <x:c r="F141" t="n">
        <x:f>'RAW_센터채널성과'!F141</x:f>
        <x:v>47</x:v>
      </x:c>
      <x:c r="G141" t="n">
        <x:f>'RAW_센터채널성과'!G141</x:f>
        <x:v>20</x:v>
      </x:c>
      <x:c r="H141" s="3" t="n">
        <x:f>'RAW_센터채널성과'!H141</x:f>
        <x:v>14050000</x:v>
      </x:c>
      <x:c r="I141" s="3" t="n">
        <x:f>'RAW_센터채널성과'!I141</x:f>
        <x:v>1</x:v>
      </x:c>
      <x:c r="J141" s="3" t="n">
        <x:f>'RAW_센터채널성과'!J141</x:f>
        <x:v>170000</x:v>
      </x:c>
      <x:c r="K141" t="n">
        <x:f>'RAW_센터채널성과'!K141</x:f>
        <x:v>0</x:v>
      </x:c>
      <x:c r="L141" s="4" t="n">
        <x:f>IFERROR(F141/E141,0)</x:f>
        <x:v>0.6438356164383562</x:v>
      </x:c>
      <x:c r="M141" s="4" t="n">
        <x:f>IFERROR(G141/F141,0)</x:f>
        <x:v>0.425531914893617</x:v>
      </x:c>
      <x:c r="N141" s="4" t="n">
        <x:f>IFERROR(I141/G141,0)</x:f>
        <x:v>0.05</x:v>
      </x:c>
      <x:c r="O141" s="5" t="n">
        <x:f>IFERROR(H141/J141,0)</x:f>
        <x:v>82.6470588235294</x:v>
      </x:c>
    </x:row>
    <x:row r="142">
      <x:c r="A142" t="str">
        <x:f>'RAW_센터채널성과'!A142</x:f>
        <x:v>2026-05</x:v>
      </x:c>
      <x:c r="B142" t="str">
        <x:f>'RAW_센터채널성과'!B142</x:f>
        <x:v>부산센터</x:v>
      </x:c>
      <x:c r="C142" t="str">
        <x:f>'RAW_센터채널성과'!C142</x:f>
        <x:v>고등 입시</x:v>
      </x:c>
      <x:c r="D142" t="str">
        <x:f>'RAW_센터채널성과'!D142</x:f>
        <x:v>카카오채널</x:v>
      </x:c>
      <x:c r="E142" t="n">
        <x:f>'RAW_센터채널성과'!E142</x:f>
        <x:v>54</x:v>
      </x:c>
      <x:c r="F142" t="n">
        <x:f>'RAW_센터채널성과'!F142</x:f>
        <x:v>24</x:v>
      </x:c>
      <x:c r="G142" t="n">
        <x:f>'RAW_센터채널성과'!G142</x:f>
        <x:v>5</x:v>
      </x:c>
      <x:c r="H142" s="3" t="n">
        <x:f>'RAW_센터채널성과'!H142</x:f>
        <x:v>4030000</x:v>
      </x:c>
      <x:c r="I142" s="3" t="n">
        <x:f>'RAW_센터채널성과'!I142</x:f>
        <x:v>0</x:v>
      </x:c>
      <x:c r="J142" s="3" t="n">
        <x:f>'RAW_센터채널성과'!J142</x:f>
        <x:v>140000</x:v>
      </x:c>
      <x:c r="K142" t="n">
        <x:f>'RAW_센터채널성과'!K142</x:f>
        <x:v>0</x:v>
      </x:c>
      <x:c r="L142" s="4" t="n">
        <x:f>IFERROR(F142/E142,0)</x:f>
        <x:v>0.4444444444444444</x:v>
      </x:c>
      <x:c r="M142" s="4" t="n">
        <x:f>IFERROR(G142/F142,0)</x:f>
        <x:v>0.20833333333333334</x:v>
      </x:c>
      <x:c r="N142" s="4" t="n">
        <x:f>IFERROR(I142/G142,0)</x:f>
        <x:v>0</x:v>
      </x:c>
      <x:c r="O142" s="5" t="n">
        <x:f>IFERROR(H142/J142,0)</x:f>
        <x:v>28.785714285714285</x:v>
      </x:c>
    </x:row>
    <x:row r="143">
      <x:c r="A143" t="str">
        <x:f>'RAW_센터채널성과'!A143</x:f>
        <x:v>2026-05</x:v>
      </x:c>
      <x:c r="B143" t="str">
        <x:f>'RAW_센터채널성과'!B143</x:f>
        <x:v>부산센터</x:v>
      </x:c>
      <x:c r="C143" t="str">
        <x:f>'RAW_센터채널성과'!C143</x:f>
        <x:v>초등 자기주도</x:v>
      </x:c>
      <x:c r="D143" t="str">
        <x:f>'RAW_센터채널성과'!D143</x:f>
        <x:v>네이버광고</x:v>
      </x:c>
      <x:c r="E143" t="n">
        <x:f>'RAW_센터채널성과'!E143</x:f>
        <x:v>84</x:v>
      </x:c>
      <x:c r="F143" t="n">
        <x:f>'RAW_센터채널성과'!F143</x:f>
        <x:v>36</x:v>
      </x:c>
      <x:c r="G143" t="n">
        <x:f>'RAW_센터채널성과'!G143</x:f>
        <x:v>15</x:v>
      </x:c>
      <x:c r="H143" s="3" t="n">
        <x:f>'RAW_센터채널성과'!H143</x:f>
        <x:v>12930000</x:v>
      </x:c>
      <x:c r="I143" s="3" t="n">
        <x:f>'RAW_센터채널성과'!I143</x:f>
        <x:v>0</x:v>
      </x:c>
      <x:c r="J143" s="3" t="n">
        <x:f>'RAW_센터채널성과'!J143</x:f>
        <x:v>1520000</x:v>
      </x:c>
      <x:c r="K143" t="str">
        <x:f>'RAW_센터채널성과'!K143</x:f>
        <x:v>센터명 표기 확인 필요</x:v>
      </x:c>
      <x:c r="L143" s="4" t="n">
        <x:f>IFERROR(F143/E143,0)</x:f>
        <x:v>0.42857142857142855</x:v>
      </x:c>
      <x:c r="M143" s="4" t="n">
        <x:f>IFERROR(G143/F143,0)</x:f>
        <x:v>0.4166666666666667</x:v>
      </x:c>
      <x:c r="N143" s="4" t="n">
        <x:f>IFERROR(I143/G143,0)</x:f>
        <x:v>0</x:v>
      </x:c>
      <x:c r="O143" s="5" t="n">
        <x:f>IFERROR(H143/J143,0)</x:f>
        <x:v>8.506578947368421</x:v>
      </x:c>
    </x:row>
    <x:row r="144">
      <x:c r="A144" t="str">
        <x:f>'RAW_센터채널성과'!A144</x:f>
        <x:v>2026-05</x:v>
      </x:c>
      <x:c r="B144" t="str">
        <x:f>'RAW_센터채널성과'!B144</x:f>
        <x:v>부산센터</x:v>
      </x:c>
      <x:c r="C144" t="str">
        <x:f>'RAW_센터채널성과'!C144</x:f>
        <x:v>학부모 코칭</x:v>
      </x:c>
      <x:c r="D144" t="str">
        <x:f>'RAW_센터채널성과'!D144</x:f>
        <x:v>지인추천</x:v>
      </x:c>
      <x:c r="E144" t="n">
        <x:f>'RAW_센터채널성과'!E144</x:f>
        <x:v>50</x:v>
      </x:c>
      <x:c r="F144" t="n">
        <x:f>'RAW_센터채널성과'!F144</x:f>
        <x:v>35</x:v>
      </x:c>
      <x:c r="G144" t="n">
        <x:f>'RAW_센터채널성과'!G144</x:f>
        <x:v>14</x:v>
      </x:c>
      <x:c r="H144" s="3" t="n">
        <x:f>'RAW_센터채널성과'!H144</x:f>
        <x:v>7670000</x:v>
      </x:c>
      <x:c r="I144" s="3" t="n">
        <x:f>'RAW_센터채널성과'!I144</x:f>
        <x:v>0</x:v>
      </x:c>
      <x:c r="J144" s="3" t="n">
        <x:f>'RAW_센터채널성과'!J144</x:f>
        <x:v>160000</x:v>
      </x:c>
      <x:c r="K144" t="n">
        <x:f>'RAW_센터채널성과'!K144</x:f>
        <x:v>0</x:v>
      </x:c>
      <x:c r="L144" s="4" t="n">
        <x:f>IFERROR(F144/E144,0)</x:f>
        <x:v>0.7</x:v>
      </x:c>
      <x:c r="M144" s="4" t="n">
        <x:f>IFERROR(G144/F144,0)</x:f>
        <x:v>0.4</x:v>
      </x:c>
      <x:c r="N144" s="4" t="n">
        <x:f>IFERROR(I144/G144,0)</x:f>
        <x:v>0</x:v>
      </x:c>
      <x:c r="O144" s="5" t="n">
        <x:f>IFERROR(H144/J144,0)</x:f>
        <x:v>47.9375</x:v>
      </x:c>
    </x:row>
    <x:row r="145">
      <x:c r="A145" t="str">
        <x:f>'RAW_센터채널성과'!A145</x:f>
        <x:v>2026-05</x:v>
      </x:c>
      <x:c r="B145" t="str">
        <x:f>'RAW_센터채널성과'!B145</x:f>
        <x:v>부산센터</x:v>
      </x:c>
      <x:c r="C145" t="str">
        <x:f>'RAW_센터채널성과'!C145</x:f>
        <x:v>중등 내신</x:v>
      </x:c>
      <x:c r="D145" t="str">
        <x:f>'RAW_센터채널성과'!D145</x:f>
        <x:v>설명회</x:v>
      </x:c>
      <x:c r="E145" t="n">
        <x:f>'RAW_센터채널성과'!E145</x:f>
        <x:v>51</x:v>
      </x:c>
      <x:c r="F145" t="n">
        <x:f>'RAW_센터채널성과'!F145</x:f>
        <x:v>35</x:v>
      </x:c>
      <x:c r="G145" t="n">
        <x:f>'RAW_센터채널성과'!G145</x:f>
        <x:v>7</x:v>
      </x:c>
      <x:c r="H145" s="3" t="n">
        <x:f>'RAW_센터채널성과'!H145</x:f>
        <x:v>7000000</x:v>
      </x:c>
      <x:c r="I145" s="3" t="n">
        <x:f>'RAW_센터채널성과'!I145</x:f>
        <x:v>0</x:v>
      </x:c>
      <x:c r="J145" s="3" t="n">
        <x:f>'RAW_센터채널성과'!J145</x:f>
        <x:v>170000</x:v>
      </x:c>
      <x:c r="K145" t="n">
        <x:f>'RAW_센터채널성과'!K145</x:f>
        <x:v>0</x:v>
      </x:c>
      <x:c r="L145" s="4" t="n">
        <x:f>IFERROR(F145/E145,0)</x:f>
        <x:v>0.6862745098039216</x:v>
      </x:c>
      <x:c r="M145" s="4" t="n">
        <x:f>IFERROR(G145/F145,0)</x:f>
        <x:v>0.2</x:v>
      </x:c>
      <x:c r="N145" s="4" t="n">
        <x:f>IFERROR(I145/G145,0)</x:f>
        <x:v>0</x:v>
      </x:c>
      <x:c r="O145" s="5" t="n">
        <x:f>IFERROR(H145/J145,0)</x:f>
        <x:v>41.1764705882353</x:v>
      </x:c>
    </x:row>
    <x:row r="146">
      <x:c r="A146" t="str">
        <x:f>'RAW_센터채널성과'!A146</x:f>
        <x:v>2026-06</x:v>
      </x:c>
      <x:c r="B146" t="str">
        <x:f>'RAW_센터채널성과'!B146</x:f>
        <x:v>강남센터</x:v>
      </x:c>
      <x:c r="C146" t="str">
        <x:f>'RAW_센터채널성과'!C146</x:f>
        <x:v>학부모 코칭</x:v>
      </x:c>
      <x:c r="D146" t="str">
        <x:f>'RAW_센터채널성과'!D146</x:f>
        <x:v>홈페이지</x:v>
      </x:c>
      <x:c r="E146" t="n">
        <x:f>'RAW_센터채널성과'!E146</x:f>
        <x:v>55</x:v>
      </x:c>
      <x:c r="F146" t="n">
        <x:f>'RAW_센터채널성과'!F146</x:f>
        <x:v>22</x:v>
      </x:c>
      <x:c r="G146" t="n">
        <x:f>'RAW_센터채널성과'!G146</x:f>
        <x:v>5</x:v>
      </x:c>
      <x:c r="H146" s="3" t="n">
        <x:f>'RAW_센터채널성과'!H146</x:f>
        <x:v>4680000</x:v>
      </x:c>
      <x:c r="I146" s="3" t="n">
        <x:f>'RAW_센터채널성과'!I146</x:f>
        <x:v>0</x:v>
      </x:c>
      <x:c r="J146" s="3" t="n">
        <x:f>'RAW_센터채널성과'!J146</x:f>
        <x:v>110000</x:v>
      </x:c>
      <x:c r="K146" t="n">
        <x:f>'RAW_센터채널성과'!K146</x:f>
        <x:v>0</x:v>
      </x:c>
      <x:c r="L146" s="4" t="n">
        <x:f>IFERROR(F146/E146,0)</x:f>
        <x:v>0.4</x:v>
      </x:c>
      <x:c r="M146" s="4" t="n">
        <x:f>IFERROR(G146/F146,0)</x:f>
        <x:v>0.22727272727272727</x:v>
      </x:c>
      <x:c r="N146" s="4" t="n">
        <x:f>IFERROR(I146/G146,0)</x:f>
        <x:v>0</x:v>
      </x:c>
      <x:c r="O146" s="5" t="n">
        <x:f>IFERROR(H146/J146,0)</x:f>
        <x:v>42.54545454545455</x:v>
      </x:c>
    </x:row>
    <x:row r="147">
      <x:c r="A147" t="str">
        <x:f>'RAW_센터채널성과'!A147</x:f>
        <x:v>2026-06</x:v>
      </x:c>
      <x:c r="B147" t="str">
        <x:f>'RAW_센터채널성과'!B147</x:f>
        <x:v>강남센터</x:v>
      </x:c>
      <x:c r="C147" t="str">
        <x:f>'RAW_센터채널성과'!C147</x:f>
        <x:v>중등 내신</x:v>
      </x:c>
      <x:c r="D147" t="str">
        <x:f>'RAW_센터채널성과'!D147</x:f>
        <x:v>블로그</x:v>
      </x:c>
      <x:c r="E147" t="n">
        <x:f>'RAW_센터채널성과'!E147</x:f>
        <x:v>69</x:v>
      </x:c>
      <x:c r="F147" t="n">
        <x:f>'RAW_센터채널성과'!F147</x:f>
        <x:v>47</x:v>
      </x:c>
      <x:c r="G147" t="n">
        <x:f>'RAW_센터채널성과'!G147</x:f>
        <x:v>22</x:v>
      </x:c>
      <x:c r="H147" s="3" t="n">
        <x:f>'RAW_센터채널성과'!H147</x:f>
        <x:v>16370000</x:v>
      </x:c>
      <x:c r="I147" s="3" t="n">
        <x:f>'RAW_센터채널성과'!I147</x:f>
        <x:v>0</x:v>
      </x:c>
      <x:c r="J147" s="3" t="n">
        <x:f>'RAW_센터채널성과'!J147</x:f>
        <x:v>180000</x:v>
      </x:c>
      <x:c r="K147" t="str">
        <x:f>'RAW_센터채널성과'!K147</x:f>
        <x:v>설명회 유입 포함</x:v>
      </x:c>
      <x:c r="L147" s="4" t="n">
        <x:f>IFERROR(F147/E147,0)</x:f>
        <x:v>0.6811594202898551</x:v>
      </x:c>
      <x:c r="M147" s="4" t="n">
        <x:f>IFERROR(G147/F147,0)</x:f>
        <x:v>0.46808510638297873</x:v>
      </x:c>
      <x:c r="N147" s="4" t="n">
        <x:f>IFERROR(I147/G147,0)</x:f>
        <x:v>0</x:v>
      </x:c>
      <x:c r="O147" s="5" t="n">
        <x:f>IFERROR(H147/J147,0)</x:f>
        <x:v>90.94444444444444</x:v>
      </x:c>
    </x:row>
    <x:row r="148">
      <x:c r="A148" t="str">
        <x:f>'RAW_센터채널성과'!A148</x:f>
        <x:v>2026-06</x:v>
      </x:c>
      <x:c r="B148" t="str">
        <x:f>'RAW_센터채널성과'!B148</x:f>
        <x:v>강남센터</x:v>
      </x:c>
      <x:c r="C148" t="str">
        <x:f>'RAW_센터채널성과'!C148</x:f>
        <x:v>AI 학습관리</x:v>
      </x:c>
      <x:c r="D148" t="str">
        <x:f>'RAW_센터채널성과'!D148</x:f>
        <x:v>카카오채널</x:v>
      </x:c>
      <x:c r="E148" t="n">
        <x:f>'RAW_센터채널성과'!E148</x:f>
        <x:v>81</x:v>
      </x:c>
      <x:c r="F148" t="n">
        <x:f>'RAW_센터채널성과'!F148</x:f>
        <x:v>36</x:v>
      </x:c>
      <x:c r="G148" t="n">
        <x:f>'RAW_센터채널성과'!G148</x:f>
        <x:v>19</x:v>
      </x:c>
      <x:c r="H148" s="3" t="n">
        <x:f>'RAW_센터채널성과'!H148</x:f>
        <x:v>14070000</x:v>
      </x:c>
      <x:c r="I148" s="3" t="n">
        <x:f>'RAW_센터채널성과'!I148</x:f>
        <x:v>0</x:v>
      </x:c>
      <x:c r="J148" s="3" t="n">
        <x:f>'RAW_센터채널성과'!J148</x:f>
        <x:v>120000</x:v>
      </x:c>
      <x:c r="K148" t="n">
        <x:f>'RAW_센터채널성과'!K148</x:f>
        <x:v>0</x:v>
      </x:c>
      <x:c r="L148" s="4" t="n">
        <x:f>IFERROR(F148/E148,0)</x:f>
        <x:v>0.4444444444444444</x:v>
      </x:c>
      <x:c r="M148" s="4" t="n">
        <x:f>IFERROR(G148/F148,0)</x:f>
        <x:v>0.5277777777777778</x:v>
      </x:c>
      <x:c r="N148" s="4" t="n">
        <x:f>IFERROR(I148/G148,0)</x:f>
        <x:v>0</x:v>
      </x:c>
      <x:c r="O148" s="5" t="n">
        <x:f>IFERROR(H148/J148,0)</x:f>
        <x:v>117.25</x:v>
      </x:c>
    </x:row>
    <x:row r="149">
      <x:c r="A149" t="str">
        <x:f>'RAW_센터채널성과'!A149</x:f>
        <x:v>2026-06</x:v>
      </x:c>
      <x:c r="B149" t="str">
        <x:f>'RAW_센터채널성과'!B149</x:f>
        <x:v>강남센터</x:v>
      </x:c>
      <x:c r="C149" t="str">
        <x:f>'RAW_센터채널성과'!C149</x:f>
        <x:v>고등 입시</x:v>
      </x:c>
      <x:c r="D149" t="str">
        <x:f>'RAW_센터채널성과'!D149</x:f>
        <x:v>네이버광고</x:v>
      </x:c>
      <x:c r="E149" t="n">
        <x:f>'RAW_센터채널성과'!E149</x:f>
        <x:v>41</x:v>
      </x:c>
      <x:c r="F149" t="n">
        <x:f>'RAW_센터채널성과'!F149</x:f>
        <x:v>17</x:v>
      </x:c>
      <x:c r="G149" t="n">
        <x:f>'RAW_센터채널성과'!G149</x:f>
        <x:v>8</x:v>
      </x:c>
      <x:c r="H149" s="3" t="n">
        <x:f>'RAW_센터채널성과'!H149</x:f>
        <x:v>5510000</x:v>
      </x:c>
      <x:c r="I149" s="3" t="n">
        <x:f>'RAW_센터채널성과'!I149</x:f>
        <x:v>0</x:v>
      </x:c>
      <x:c r="J149" s="3" t="n">
        <x:f>'RAW_센터채널성과'!J149</x:f>
        <x:v>650000</x:v>
      </x:c>
      <x:c r="K149" t="str">
        <x:f>'RAW_센터채널성과'!K149</x:f>
        <x:v>센터명 표기 확인 필요</x:v>
      </x:c>
      <x:c r="L149" s="4" t="n">
        <x:f>IFERROR(F149/E149,0)</x:f>
        <x:v>0.4146341463414634</x:v>
      </x:c>
      <x:c r="M149" s="4" t="n">
        <x:f>IFERROR(G149/F149,0)</x:f>
        <x:v>0.47058823529411764</x:v>
      </x:c>
      <x:c r="N149" s="4" t="n">
        <x:f>IFERROR(I149/G149,0)</x:f>
        <x:v>0</x:v>
      </x:c>
      <x:c r="O149" s="5" t="n">
        <x:f>IFERROR(H149/J149,0)</x:f>
        <x:v>8.476923076923077</x:v>
      </x:c>
    </x:row>
    <x:row r="150">
      <x:c r="A150" t="str">
        <x:f>'RAW_센터채널성과'!A150</x:f>
        <x:v>2026-06</x:v>
      </x:c>
      <x:c r="B150" t="str">
        <x:f>'RAW_센터채널성과'!B150</x:f>
        <x:v>강남센터</x:v>
      </x:c>
      <x:c r="C150" t="str">
        <x:f>'RAW_센터채널성과'!C150</x:f>
        <x:v>초등 자기주도</x:v>
      </x:c>
      <x:c r="D150" t="str">
        <x:f>'RAW_센터채널성과'!D150</x:f>
        <x:v>지인추천</x:v>
      </x:c>
      <x:c r="E150" t="n">
        <x:f>'RAW_센터채널성과'!E150</x:f>
        <x:v>46</x:v>
      </x:c>
      <x:c r="F150" t="n">
        <x:f>'RAW_센터채널성과'!F150</x:f>
        <x:v>24</x:v>
      </x:c>
      <x:c r="G150" t="n">
        <x:f>'RAW_센터채널성과'!G150</x:f>
        <x:v>9</x:v>
      </x:c>
      <x:c r="H150" s="3" t="n">
        <x:f>'RAW_센터채널성과'!H150</x:f>
        <x:v>7310000</x:v>
      </x:c>
      <x:c r="I150" s="3" t="n">
        <x:f>'RAW_센터채널성과'!I150</x:f>
        <x:v>3</x:v>
      </x:c>
      <x:c r="J150" s="3" t="n">
        <x:f>'RAW_센터채널성과'!J150</x:f>
        <x:v>170000</x:v>
      </x:c>
      <x:c r="K150" t="n">
        <x:f>'RAW_센터채널성과'!K150</x:f>
        <x:v>0</x:v>
      </x:c>
      <x:c r="L150" s="4" t="n">
        <x:f>IFERROR(F150/E150,0)</x:f>
        <x:v>0.5217391304347826</x:v>
      </x:c>
      <x:c r="M150" s="4" t="n">
        <x:f>IFERROR(G150/F150,0)</x:f>
        <x:v>0.375</x:v>
      </x:c>
      <x:c r="N150" s="4" t="n">
        <x:f>IFERROR(I150/G150,0)</x:f>
        <x:v>0.3333333333333333</x:v>
      </x:c>
      <x:c r="O150" s="5" t="n">
        <x:f>IFERROR(H150/J150,0)</x:f>
        <x:v>43</x:v>
      </x:c>
    </x:row>
    <x:row r="151">
      <x:c r="A151" t="str">
        <x:f>'RAW_센터채널성과'!A151</x:f>
        <x:v>2026-06</x:v>
      </x:c>
      <x:c r="B151" t="str">
        <x:f>'RAW_센터채널성과'!B151</x:f>
        <x:v>강남센터</x:v>
      </x:c>
      <x:c r="C151" t="str">
        <x:f>'RAW_센터채널성과'!C151</x:f>
        <x:v>AI 학습관리</x:v>
      </x:c>
      <x:c r="D151" t="str">
        <x:f>'RAW_센터채널성과'!D151</x:f>
        <x:v>설명회</x:v>
      </x:c>
      <x:c r="E151" t="n">
        <x:f>'RAW_센터채널성과'!E151</x:f>
        <x:v>88</x:v>
      </x:c>
      <x:c r="F151" t="n">
        <x:f>'RAW_센터채널성과'!F151</x:f>
        <x:v>56</x:v>
      </x:c>
      <x:c r="G151" t="n">
        <x:f>'RAW_센터채널성과'!G151</x:f>
        <x:v>28</x:v>
      </x:c>
      <x:c r="H151" s="3" t="n">
        <x:f>'RAW_센터채널성과'!H151</x:f>
        <x:v>16700000</x:v>
      </x:c>
      <x:c r="I151" s="3" t="n">
        <x:f>'RAW_센터채널성과'!I151</x:f>
        <x:v>0</x:v>
      </x:c>
      <x:c r="J151" s="3" t="n">
        <x:f>'RAW_센터채널성과'!J151</x:f>
        <x:v>180000</x:v>
      </x:c>
      <x:c r="K151" t="n">
        <x:f>'RAW_센터채널성과'!K151</x:f>
        <x:v>0</x:v>
      </x:c>
      <x:c r="L151" s="4" t="n">
        <x:f>IFERROR(F151/E151,0)</x:f>
        <x:v>0.6363636363636364</x:v>
      </x:c>
      <x:c r="M151" s="4" t="n">
        <x:f>IFERROR(G151/F151,0)</x:f>
        <x:v>0.5</x:v>
      </x:c>
      <x:c r="N151" s="4" t="n">
        <x:f>IFERROR(I151/G151,0)</x:f>
        <x:v>0</x:v>
      </x:c>
      <x:c r="O151" s="5" t="n">
        <x:f>IFERROR(H151/J151,0)</x:f>
        <x:v>92.77777777777777</x:v>
      </x:c>
    </x:row>
    <x:row r="152">
      <x:c r="A152" t="str">
        <x:f>'RAW_센터채널성과'!A152</x:f>
        <x:v>2026-06</x:v>
      </x:c>
      <x:c r="B152" t="str">
        <x:f>'RAW_센터채널성과'!B152</x:f>
        <x:v>분당센터</x:v>
      </x:c>
      <x:c r="C152" t="str">
        <x:f>'RAW_센터채널성과'!C152</x:f>
        <x:v>고등 입시</x:v>
      </x:c>
      <x:c r="D152" t="str">
        <x:f>'RAW_센터채널성과'!D152</x:f>
        <x:v>홈페이지</x:v>
      </x:c>
      <x:c r="E152" t="n">
        <x:f>'RAW_센터채널성과'!E152</x:f>
        <x:v>99</x:v>
      </x:c>
      <x:c r="F152" t="n">
        <x:f>'RAW_센터채널성과'!F152</x:f>
        <x:v>51</x:v>
      </x:c>
      <x:c r="G152" t="n">
        <x:f>'RAW_센터채널성과'!G152</x:f>
        <x:v>21</x:v>
      </x:c>
      <x:c r="H152" s="3" t="n">
        <x:f>'RAW_센터채널성과'!H152</x:f>
        <x:v>14450000</x:v>
      </x:c>
      <x:c r="I152" s="3" t="n">
        <x:f>'RAW_센터채널성과'!I152</x:f>
        <x:v>0</x:v>
      </x:c>
      <x:c r="J152" s="3" t="n">
        <x:f>'RAW_센터채널성과'!J152</x:f>
        <x:v>330000</x:v>
      </x:c>
      <x:c r="K152" t="n">
        <x:f>'RAW_센터채널성과'!K152</x:f>
        <x:v>0</x:v>
      </x:c>
      <x:c r="L152" s="4" t="n">
        <x:f>IFERROR(F152/E152,0)</x:f>
        <x:v>0.5151515151515151</x:v>
      </x:c>
      <x:c r="M152" s="4" t="n">
        <x:f>IFERROR(G152/F152,0)</x:f>
        <x:v>0.4117647058823529</x:v>
      </x:c>
      <x:c r="N152" s="4" t="n">
        <x:f>IFERROR(I152/G152,0)</x:f>
        <x:v>0</x:v>
      </x:c>
      <x:c r="O152" s="5" t="n">
        <x:f>IFERROR(H152/J152,0)</x:f>
        <x:v>43.78787878787879</x:v>
      </x:c>
    </x:row>
    <x:row r="153">
      <x:c r="A153" t="str">
        <x:f>'RAW_센터채널성과'!A153</x:f>
        <x:v>2026-06</x:v>
      </x:c>
      <x:c r="B153" t="str">
        <x:f>'RAW_센터채널성과'!B153</x:f>
        <x:v>분당센터</x:v>
      </x:c>
      <x:c r="C153" t="str">
        <x:f>'RAW_센터채널성과'!C153</x:f>
        <x:v>초등 자기주도</x:v>
      </x:c>
      <x:c r="D153" t="str">
        <x:f>'RAW_센터채널성과'!D153</x:f>
        <x:v>블로그</x:v>
      </x:c>
      <x:c r="E153" t="n">
        <x:f>'RAW_센터채널성과'!E153</x:f>
        <x:v>89</x:v>
      </x:c>
      <x:c r="F153" t="n">
        <x:f>'RAW_센터채널성과'!F153</x:f>
        <x:v>34</x:v>
      </x:c>
      <x:c r="G153" t="n">
        <x:f>'RAW_센터채널성과'!G153</x:f>
        <x:v>8</x:v>
      </x:c>
      <x:c r="H153" s="3" t="n">
        <x:f>'RAW_센터채널성과'!H153</x:f>
        <x:v>6120000</x:v>
      </x:c>
      <x:c r="I153" s="3" t="n">
        <x:f>'RAW_센터채널성과'!I153</x:f>
        <x:v>3</x:v>
      </x:c>
      <x:c r="J153" s="3" t="n">
        <x:f>'RAW_센터채널성과'!J153</x:f>
        <x:v>320000</x:v>
      </x:c>
      <x:c r="K153" t="n">
        <x:f>'RAW_센터채널성과'!K153</x:f>
        <x:v>0</x:v>
      </x:c>
      <x:c r="L153" s="4" t="n">
        <x:f>IFERROR(F153/E153,0)</x:f>
        <x:v>0.38202247191011235</x:v>
      </x:c>
      <x:c r="M153" s="4" t="n">
        <x:f>IFERROR(G153/F153,0)</x:f>
        <x:v>0.23529411764705882</x:v>
      </x:c>
      <x:c r="N153" s="4" t="n">
        <x:f>IFERROR(I153/G153,0)</x:f>
        <x:v>0.375</x:v>
      </x:c>
      <x:c r="O153" s="5" t="n">
        <x:f>IFERROR(H153/J153,0)</x:f>
        <x:v>19.125</x:v>
      </x:c>
    </x:row>
    <x:row r="154">
      <x:c r="A154" t="str">
        <x:f>'RAW_센터채널성과'!A154</x:f>
        <x:v>2026-06</x:v>
      </x:c>
      <x:c r="B154" t="str">
        <x:f>'RAW_센터채널성과'!B154</x:f>
        <x:v>분당센터</x:v>
      </x:c>
      <x:c r="C154" t="str">
        <x:f>'RAW_센터채널성과'!C154</x:f>
        <x:v>AI 학습관리</x:v>
      </x:c>
      <x:c r="D154" t="str">
        <x:f>'RAW_센터채널성과'!D154</x:f>
        <x:v>카카오채널</x:v>
      </x:c>
      <x:c r="E154" t="n">
        <x:f>'RAW_센터채널성과'!E154</x:f>
        <x:v>96</x:v>
      </x:c>
      <x:c r="F154" t="n">
        <x:f>'RAW_센터채널성과'!F154</x:f>
        <x:v>58</x:v>
      </x:c>
      <x:c r="G154" t="n">
        <x:f>'RAW_센터채널성과'!G154</x:f>
        <x:v>20</x:v>
      </x:c>
      <x:c r="H154" s="3" t="n">
        <x:f>'RAW_센터채널성과'!H154</x:f>
        <x:v>17970000</x:v>
      </x:c>
      <x:c r="I154" s="3" t="n">
        <x:f>'RAW_센터채널성과'!I154</x:f>
        <x:v>0</x:v>
      </x:c>
      <x:c r="J154" s="3" t="n">
        <x:f>'RAW_센터채널성과'!J154</x:f>
        <x:v>150000</x:v>
      </x:c>
      <x:c r="K154" t="n">
        <x:f>'RAW_센터채널성과'!K154</x:f>
        <x:v>0</x:v>
      </x:c>
      <x:c r="L154" s="4" t="n">
        <x:f>IFERROR(F154/E154,0)</x:f>
        <x:v>0.6041666666666666</x:v>
      </x:c>
      <x:c r="M154" s="4" t="n">
        <x:f>IFERROR(G154/F154,0)</x:f>
        <x:v>0.3448275862068966</x:v>
      </x:c>
      <x:c r="N154" s="4" t="n">
        <x:f>IFERROR(I154/G154,0)</x:f>
        <x:v>0</x:v>
      </x:c>
      <x:c r="O154" s="5" t="n">
        <x:f>IFERROR(H154/J154,0)</x:f>
        <x:v>119.8</x:v>
      </x:c>
    </x:row>
    <x:row r="155">
      <x:c r="A155" t="str">
        <x:f>'RAW_센터채널성과'!A155</x:f>
        <x:v>2026-06</x:v>
      </x:c>
      <x:c r="B155" t="str">
        <x:f>'RAW_센터채널성과'!B155</x:f>
        <x:v>분당센터</x:v>
      </x:c>
      <x:c r="C155" t="str">
        <x:f>'RAW_센터채널성과'!C155</x:f>
        <x:v>고등 입시</x:v>
      </x:c>
      <x:c r="D155" t="str">
        <x:f>'RAW_센터채널성과'!D155</x:f>
        <x:v>네이버광고</x:v>
      </x:c>
      <x:c r="E155" t="n">
        <x:f>'RAW_센터채널성과'!E155</x:f>
        <x:v>43</x:v>
      </x:c>
      <x:c r="F155" t="n">
        <x:f>'RAW_센터채널성과'!F155</x:f>
        <x:v>17</x:v>
      </x:c>
      <x:c r="G155" t="n">
        <x:f>'RAW_센터채널성과'!G155</x:f>
        <x:v>6</x:v>
      </x:c>
      <x:c r="H155" s="3" t="n">
        <x:f>'RAW_센터채널성과'!H155</x:f>
        <x:v>4460000</x:v>
      </x:c>
      <x:c r="I155" s="3" t="n">
        <x:f>'RAW_센터채널성과'!I155</x:f>
        <x:v>0</x:v>
      </x:c>
      <x:c r="J155" s="3" t="n">
        <x:f>'RAW_센터채널성과'!J155</x:f>
        <x:v>450000</x:v>
      </x:c>
      <x:c r="K155" t="n">
        <x:f>'RAW_센터채널성과'!K155</x:f>
        <x:v>0</x:v>
      </x:c>
      <x:c r="L155" s="4" t="n">
        <x:f>IFERROR(F155/E155,0)</x:f>
        <x:v>0.3953488372093023</x:v>
      </x:c>
      <x:c r="M155" s="4" t="n">
        <x:f>IFERROR(G155/F155,0)</x:f>
        <x:v>0.35294117647058826</x:v>
      </x:c>
      <x:c r="N155" s="4" t="n">
        <x:f>IFERROR(I155/G155,0)</x:f>
        <x:v>0</x:v>
      </x:c>
      <x:c r="O155" s="5" t="n">
        <x:f>IFERROR(H155/J155,0)</x:f>
        <x:v>9.911111111111111</x:v>
      </x:c>
    </x:row>
    <x:row r="156">
      <x:c r="A156" t="str">
        <x:f>'RAW_센터채널성과'!A156</x:f>
        <x:v>2026-06</x:v>
      </x:c>
      <x:c r="B156" t="str">
        <x:f>'RAW_센터채널성과'!B156</x:f>
        <x:v>분당센터</x:v>
      </x:c>
      <x:c r="C156" t="str">
        <x:f>'RAW_센터채널성과'!C156</x:f>
        <x:v>초등 자기주도</x:v>
      </x:c>
      <x:c r="D156" t="str">
        <x:f>'RAW_센터채널성과'!D156</x:f>
        <x:v>지인추천</x:v>
      </x:c>
      <x:c r="E156" t="n">
        <x:f>'RAW_센터채널성과'!E156</x:f>
        <x:v>94</x:v>
      </x:c>
      <x:c r="F156" t="n">
        <x:f>'RAW_센터채널성과'!F156</x:f>
        <x:v>37</x:v>
      </x:c>
      <x:c r="G156" t="n">
        <x:f>'RAW_센터채널성과'!G156</x:f>
        <x:v>18</x:v>
      </x:c>
      <x:c r="H156" s="3" t="n">
        <x:f>'RAW_센터채널성과'!H156</x:f>
        <x:v>14060000</x:v>
      </x:c>
      <x:c r="I156" s="3" t="n">
        <x:f>'RAW_센터채널성과'!I156</x:f>
        <x:v>0</x:v>
      </x:c>
      <x:c r="J156" s="3" t="n">
        <x:f>'RAW_센터채널성과'!J156</x:f>
        <x:v>240000</x:v>
      </x:c>
      <x:c r="K156" t="n">
        <x:f>'RAW_센터채널성과'!K156</x:f>
        <x:v>0</x:v>
      </x:c>
      <x:c r="L156" s="4" t="n">
        <x:f>IFERROR(F156/E156,0)</x:f>
        <x:v>0.39361702127659576</x:v>
      </x:c>
      <x:c r="M156" s="4" t="n">
        <x:f>IFERROR(G156/F156,0)</x:f>
        <x:v>0.4864864864864865</x:v>
      </x:c>
      <x:c r="N156" s="4" t="n">
        <x:f>IFERROR(I156/G156,0)</x:f>
        <x:v>0</x:v>
      </x:c>
      <x:c r="O156" s="5" t="n">
        <x:f>IFERROR(H156/J156,0)</x:f>
        <x:v>58.583333333333336</x:v>
      </x:c>
    </x:row>
    <x:row r="157">
      <x:c r="A157" t="str">
        <x:f>'RAW_센터채널성과'!A157</x:f>
        <x:v>2026-06</x:v>
      </x:c>
      <x:c r="B157" t="str">
        <x:f>'RAW_센터채널성과'!B157</x:f>
        <x:v>분당센터</x:v>
      </x:c>
      <x:c r="C157" t="str">
        <x:f>'RAW_센터채널성과'!C157</x:f>
        <x:v>학부모 코칭</x:v>
      </x:c>
      <x:c r="D157" t="str">
        <x:f>'RAW_센터채널성과'!D157</x:f>
        <x:v>설명회</x:v>
      </x:c>
      <x:c r="E157" t="n">
        <x:f>'RAW_센터채널성과'!E157</x:f>
        <x:v>67</x:v>
      </x:c>
      <x:c r="F157" t="n">
        <x:f>'RAW_센터채널성과'!F157</x:f>
        <x:v>29</x:v>
      </x:c>
      <x:c r="G157" t="n">
        <x:f>'RAW_센터채널성과'!G157</x:f>
        <x:v>8</x:v>
      </x:c>
      <x:c r="H157" s="3" t="n">
        <x:f>'RAW_센터채널성과'!H157</x:f>
        <x:v>7860000</x:v>
      </x:c>
      <x:c r="I157" s="3" t="n">
        <x:f>'RAW_센터채널성과'!I157</x:f>
        <x:v>0</x:v>
      </x:c>
      <x:c r="J157" s="3" t="n">
        <x:f>'RAW_센터채널성과'!J157</x:f>
        <x:v>110000</x:v>
      </x:c>
      <x:c r="K157" t="n">
        <x:f>'RAW_센터채널성과'!K157</x:f>
        <x:v>0</x:v>
      </x:c>
      <x:c r="L157" s="4" t="n">
        <x:f>IFERROR(F157/E157,0)</x:f>
        <x:v>0.43283582089552236</x:v>
      </x:c>
      <x:c r="M157" s="4" t="n">
        <x:f>IFERROR(G157/F157,0)</x:f>
        <x:v>0.27586206896551724</x:v>
      </x:c>
      <x:c r="N157" s="4" t="n">
        <x:f>IFERROR(I157/G157,0)</x:f>
        <x:v>0</x:v>
      </x:c>
      <x:c r="O157" s="5" t="n">
        <x:f>IFERROR(H157/J157,0)</x:f>
        <x:v>71.45454545454545</x:v>
      </x:c>
    </x:row>
    <x:row r="158">
      <x:c r="A158" t="str">
        <x:f>'RAW_센터채널성과'!A158</x:f>
        <x:v>2026-06</x:v>
      </x:c>
      <x:c r="B158" t="str">
        <x:f>'RAW_센터채널성과'!B158</x:f>
        <x:v>송파센터</x:v>
      </x:c>
      <x:c r="C158" t="str">
        <x:f>'RAW_센터채널성과'!C158</x:f>
        <x:v>중등 내신</x:v>
      </x:c>
      <x:c r="D158" t="str">
        <x:f>'RAW_센터채널성과'!D158</x:f>
        <x:v>홈페이지</x:v>
      </x:c>
      <x:c r="E158" t="n">
        <x:f>'RAW_센터채널성과'!E158</x:f>
        <x:v>54</x:v>
      </x:c>
      <x:c r="F158" t="n">
        <x:f>'RAW_센터채널성과'!F158</x:f>
        <x:v>24</x:v>
      </x:c>
      <x:c r="G158" t="n">
        <x:f>'RAW_센터채널성과'!G158</x:f>
        <x:v>8</x:v>
      </x:c>
      <x:c r="H158" s="3" t="n">
        <x:f>'RAW_센터채널성과'!H158</x:f>
        <x:v>6620000</x:v>
      </x:c>
      <x:c r="I158" s="3" t="n">
        <x:f>'RAW_센터채널성과'!I158</x:f>
        <x:v>3</x:v>
      </x:c>
      <x:c r="J158" s="3" t="n">
        <x:f>'RAW_센터채널성과'!J158</x:f>
        <x:v>140000</x:v>
      </x:c>
      <x:c r="K158" t="n">
        <x:f>'RAW_센터채널성과'!K158</x:f>
        <x:v>0</x:v>
      </x:c>
      <x:c r="L158" s="4" t="n">
        <x:f>IFERROR(F158/E158,0)</x:f>
        <x:v>0.4444444444444444</x:v>
      </x:c>
      <x:c r="M158" s="4" t="n">
        <x:f>IFERROR(G158/F158,0)</x:f>
        <x:v>0.3333333333333333</x:v>
      </x:c>
      <x:c r="N158" s="4" t="n">
        <x:f>IFERROR(I158/G158,0)</x:f>
        <x:v>0.375</x:v>
      </x:c>
      <x:c r="O158" s="5" t="n">
        <x:f>IFERROR(H158/J158,0)</x:f>
        <x:v>47.285714285714285</x:v>
      </x:c>
    </x:row>
    <x:row r="159">
      <x:c r="A159" t="str">
        <x:f>'RAW_센터채널성과'!A159</x:f>
        <x:v>2026-06</x:v>
      </x:c>
      <x:c r="B159" t="str">
        <x:f>'RAW_센터채널성과'!B159</x:f>
        <x:v>송파센터</x:v>
      </x:c>
      <x:c r="C159" t="str">
        <x:f>'RAW_센터채널성과'!C159</x:f>
        <x:v>초등 자기주도</x:v>
      </x:c>
      <x:c r="D159" t="str">
        <x:f>'RAW_센터채널성과'!D159</x:f>
        <x:v>블로그</x:v>
      </x:c>
      <x:c r="E159" t="n">
        <x:f>'RAW_센터채널성과'!E159</x:f>
        <x:v>75</x:v>
      </x:c>
      <x:c r="F159" t="n">
        <x:f>'RAW_센터채널성과'!F159</x:f>
        <x:v>38</x:v>
      </x:c>
      <x:c r="G159" t="n">
        <x:f>'RAW_센터채널성과'!G159</x:f>
        <x:v>11</x:v>
      </x:c>
      <x:c r="H159" s="3" t="n">
        <x:f>'RAW_센터채널성과'!H159</x:f>
        <x:v>10900000</x:v>
      </x:c>
      <x:c r="I159" s="3" t="n">
        <x:f>'RAW_센터채널성과'!I159</x:f>
        <x:v>0</x:v>
      </x:c>
      <x:c r="J159" s="3" t="n">
        <x:f>'RAW_센터채널성과'!J159</x:f>
        <x:v>250000</x:v>
      </x:c>
      <x:c r="K159" t="str">
        <x:f>'RAW_센터채널성과'!K159</x:f>
        <x:v>센터명 표기 확인 필요</x:v>
      </x:c>
      <x:c r="L159" s="4" t="n">
        <x:f>IFERROR(F159/E159,0)</x:f>
        <x:v>0.5066666666666667</x:v>
      </x:c>
      <x:c r="M159" s="4" t="n">
        <x:f>IFERROR(G159/F159,0)</x:f>
        <x:v>0.2894736842105263</x:v>
      </x:c>
      <x:c r="N159" s="4" t="n">
        <x:f>IFERROR(I159/G159,0)</x:f>
        <x:v>0</x:v>
      </x:c>
      <x:c r="O159" s="5" t="n">
        <x:f>IFERROR(H159/J159,0)</x:f>
        <x:v>43.6</x:v>
      </x:c>
    </x:row>
    <x:row r="160">
      <x:c r="A160" t="str">
        <x:f>'RAW_센터채널성과'!A160</x:f>
        <x:v>2026-06</x:v>
      </x:c>
      <x:c r="B160" t="str">
        <x:f>'RAW_센터채널성과'!B160</x:f>
        <x:v>송파센터</x:v>
      </x:c>
      <x:c r="C160" t="str">
        <x:f>'RAW_센터채널성과'!C160</x:f>
        <x:v>학부모 코칭</x:v>
      </x:c>
      <x:c r="D160" t="str">
        <x:f>'RAW_센터채널성과'!D160</x:f>
        <x:v>카카오채널</x:v>
      </x:c>
      <x:c r="E160" t="n">
        <x:f>'RAW_센터채널성과'!E160</x:f>
        <x:v>98</x:v>
      </x:c>
      <x:c r="F160" t="n">
        <x:f>'RAW_센터채널성과'!F160</x:f>
        <x:v>68</x:v>
      </x:c>
      <x:c r="G160" t="n">
        <x:f>'RAW_센터채널성과'!G160</x:f>
        <x:v>16</x:v>
      </x:c>
      <x:c r="H160" s="3" t="n">
        <x:f>'RAW_센터채널성과'!H160</x:f>
        <x:v>14780000</x:v>
      </x:c>
      <x:c r="I160" s="3" t="n">
        <x:f>'RAW_센터채널성과'!I160</x:f>
        <x:v>0</x:v>
      </x:c>
      <x:c r="J160" s="3" t="n">
        <x:f>'RAW_센터채널성과'!J160</x:f>
        <x:v>300000</x:v>
      </x:c>
      <x:c r="K160" t="n">
        <x:f>'RAW_센터채널성과'!K160</x:f>
        <x:v>0</x:v>
      </x:c>
      <x:c r="L160" s="4" t="n">
        <x:f>IFERROR(F160/E160,0)</x:f>
        <x:v>0.6938775510204082</x:v>
      </x:c>
      <x:c r="M160" s="4" t="n">
        <x:f>IFERROR(G160/F160,0)</x:f>
        <x:v>0.23529411764705882</x:v>
      </x:c>
      <x:c r="N160" s="4" t="n">
        <x:f>IFERROR(I160/G160,0)</x:f>
        <x:v>0</x:v>
      </x:c>
      <x:c r="O160" s="5" t="n">
        <x:f>IFERROR(H160/J160,0)</x:f>
        <x:v>49.266666666666666</x:v>
      </x:c>
    </x:row>
    <x:row r="161">
      <x:c r="A161" t="str">
        <x:f>'RAW_센터채널성과'!A161</x:f>
        <x:v>2026-06</x:v>
      </x:c>
      <x:c r="B161" t="str">
        <x:f>'RAW_센터채널성과'!B161</x:f>
        <x:v>송파센터</x:v>
      </x:c>
      <x:c r="C161" t="str">
        <x:f>'RAW_센터채널성과'!C161</x:f>
        <x:v>중등 내신</x:v>
      </x:c>
      <x:c r="D161" t="str">
        <x:f>'RAW_센터채널성과'!D161</x:f>
        <x:v>네이버광고</x:v>
      </x:c>
      <x:c r="E161" t="n">
        <x:f>'RAW_센터채널성과'!E161</x:f>
        <x:v>98</x:v>
      </x:c>
      <x:c r="F161" t="n">
        <x:f>'RAW_센터채널성과'!F161</x:f>
        <x:v>58</x:v>
      </x:c>
      <x:c r="G161" t="n">
        <x:f>'RAW_센터채널성과'!G161</x:f>
        <x:v>13</x:v>
      </x:c>
      <x:c r="H161" s="3" t="n">
        <x:f>'RAW_센터채널성과'!H161</x:f>
        <x:v>11950000</x:v>
      </x:c>
      <x:c r="I161" s="3" t="n">
        <x:f>'RAW_센터채널성과'!I161</x:f>
        <x:v>0</x:v>
      </x:c>
      <x:c r="J161" s="3" t="n">
        <x:f>'RAW_센터채널성과'!J161</x:f>
        <x:v>910000</x:v>
      </x:c>
      <x:c r="K161" t="n">
        <x:f>'RAW_센터채널성과'!K161</x:f>
        <x:v>0</x:v>
      </x:c>
      <x:c r="L161" s="4" t="n">
        <x:f>IFERROR(F161/E161,0)</x:f>
        <x:v>0.5918367346938775</x:v>
      </x:c>
      <x:c r="M161" s="4" t="n">
        <x:f>IFERROR(G161/F161,0)</x:f>
        <x:v>0.22413793103448276</x:v>
      </x:c>
      <x:c r="N161" s="4" t="n">
        <x:f>IFERROR(I161/G161,0)</x:f>
        <x:v>0</x:v>
      </x:c>
      <x:c r="O161" s="5" t="n">
        <x:f>IFERROR(H161/J161,0)</x:f>
        <x:v>13.131868131868131</x:v>
      </x:c>
    </x:row>
    <x:row r="162">
      <x:c r="A162" t="str">
        <x:f>'RAW_센터채널성과'!A162</x:f>
        <x:v>2026-06</x:v>
      </x:c>
      <x:c r="B162" t="str">
        <x:f>'RAW_센터채널성과'!B162</x:f>
        <x:v>송파센터</x:v>
      </x:c>
      <x:c r="C162" t="str">
        <x:f>'RAW_센터채널성과'!C162</x:f>
        <x:v>AI 학습관리</x:v>
      </x:c>
      <x:c r="D162" t="str">
        <x:f>'RAW_센터채널성과'!D162</x:f>
        <x:v>지인추천</x:v>
      </x:c>
      <x:c r="E162" t="n">
        <x:f>'RAW_센터채널성과'!E162</x:f>
        <x:v>66</x:v>
      </x:c>
      <x:c r="F162" t="n">
        <x:f>'RAW_센터채널성과'!F162</x:f>
        <x:v>39</x:v>
      </x:c>
      <x:c r="G162" t="n">
        <x:f>'RAW_센터채널성과'!G162</x:f>
        <x:v>17</x:v>
      </x:c>
      <x:c r="H162" s="3" t="n">
        <x:f>'RAW_센터채널성과'!H162</x:f>
        <x:v>10690000</x:v>
      </x:c>
      <x:c r="I162" s="3" t="n">
        <x:f>'RAW_센터채널성과'!I162</x:f>
        <x:v>0</x:v>
      </x:c>
      <x:c r="J162" s="3" t="n">
        <x:f>'RAW_센터채널성과'!J162</x:f>
        <x:v>180000</x:v>
      </x:c>
      <x:c r="K162" t="str">
        <x:f>'RAW_센터채널성과'!K162</x:f>
        <x:v>설명회 유입 포함</x:v>
      </x:c>
      <x:c r="L162" s="4" t="n">
        <x:f>IFERROR(F162/E162,0)</x:f>
        <x:v>0.5909090909090909</x:v>
      </x:c>
      <x:c r="M162" s="4" t="n">
        <x:f>IFERROR(G162/F162,0)</x:f>
        <x:v>0.4358974358974359</x:v>
      </x:c>
      <x:c r="N162" s="4" t="n">
        <x:f>IFERROR(I162/G162,0)</x:f>
        <x:v>0</x:v>
      </x:c>
      <x:c r="O162" s="5" t="n">
        <x:f>IFERROR(H162/J162,0)</x:f>
        <x:v>59.388888888888886</x:v>
      </x:c>
    </x:row>
    <x:row r="163">
      <x:c r="A163" t="str">
        <x:f>'RAW_센터채널성과'!A163</x:f>
        <x:v>2026-06</x:v>
      </x:c>
      <x:c r="B163" t="str">
        <x:f>'RAW_센터채널성과'!B163</x:f>
        <x:v>송파센터</x:v>
      </x:c>
      <x:c r="C163" t="str">
        <x:f>'RAW_센터채널성과'!C163</x:f>
        <x:v>고등 입시</x:v>
      </x:c>
      <x:c r="D163" t="str">
        <x:f>'RAW_센터채널성과'!D163</x:f>
        <x:v>설명회</x:v>
      </x:c>
      <x:c r="E163" t="n">
        <x:f>'RAW_센터채널성과'!E163</x:f>
        <x:v>94</x:v>
      </x:c>
      <x:c r="F163" t="n">
        <x:f>'RAW_센터채널성과'!F163</x:f>
        <x:v>64</x:v>
      </x:c>
      <x:c r="G163" t="n">
        <x:f>'RAW_센터채널성과'!G163</x:f>
        <x:v>26</x:v>
      </x:c>
      <x:c r="H163" s="3" t="n">
        <x:f>'RAW_센터채널성과'!H163</x:f>
        <x:v>23580000</x:v>
      </x:c>
      <x:c r="I163" s="3" t="n">
        <x:f>'RAW_센터채널성과'!I163</x:f>
        <x:v>0</x:v>
      </x:c>
      <x:c r="J163" s="3" t="n">
        <x:f>'RAW_센터채널성과'!J163</x:f>
        <x:v>250000</x:v>
      </x:c>
      <x:c r="K163" t="n">
        <x:f>'RAW_센터채널성과'!K163</x:f>
        <x:v>0</x:v>
      </x:c>
      <x:c r="L163" s="4" t="n">
        <x:f>IFERROR(F163/E163,0)</x:f>
        <x:v>0.6808510638297872</x:v>
      </x:c>
      <x:c r="M163" s="4" t="n">
        <x:f>IFERROR(G163/F163,0)</x:f>
        <x:v>0.40625</x:v>
      </x:c>
      <x:c r="N163" s="4" t="n">
        <x:f>IFERROR(I163/G163,0)</x:f>
        <x:v>0</x:v>
      </x:c>
      <x:c r="O163" s="5" t="n">
        <x:f>IFERROR(H163/J163,0)</x:f>
        <x:v>94.32</x:v>
      </x:c>
    </x:row>
    <x:row r="164">
      <x:c r="A164" t="str">
        <x:f>'RAW_센터채널성과'!A164</x:f>
        <x:v>2026-06</x:v>
      </x:c>
      <x:c r="B164" t="str">
        <x:f>'RAW_센터채널성과'!B164</x:f>
        <x:v>목동센터</x:v>
      </x:c>
      <x:c r="C164" t="str">
        <x:f>'RAW_센터채널성과'!C164</x:f>
        <x:v>초등 자기주도</x:v>
      </x:c>
      <x:c r="D164" t="str">
        <x:f>'RAW_센터채널성과'!D164</x:f>
        <x:v>홈페이지</x:v>
      </x:c>
      <x:c r="E164" t="n">
        <x:f>'RAW_센터채널성과'!E164</x:f>
        <x:v>47</x:v>
      </x:c>
      <x:c r="F164" t="n">
        <x:f>'RAW_센터채널성과'!F164</x:f>
        <x:v>25</x:v>
      </x:c>
      <x:c r="G164" t="n">
        <x:f>'RAW_센터채널성과'!G164</x:f>
        <x:v>5</x:v>
      </x:c>
      <x:c r="H164" s="3" t="n">
        <x:f>'RAW_센터채널성과'!H164</x:f>
        <x:v>3260000</x:v>
      </x:c>
      <x:c r="I164" s="3" t="n">
        <x:f>'RAW_센터채널성과'!I164</x:f>
        <x:v>2</x:v>
      </x:c>
      <x:c r="J164" s="3" t="n">
        <x:f>'RAW_센터채널성과'!J164</x:f>
        <x:v>170000</x:v>
      </x:c>
      <x:c r="K164" t="n">
        <x:f>'RAW_센터채널성과'!K164</x:f>
        <x:v>0</x:v>
      </x:c>
      <x:c r="L164" s="4" t="n">
        <x:f>IFERROR(F164/E164,0)</x:f>
        <x:v>0.5319148936170213</x:v>
      </x:c>
      <x:c r="M164" s="4" t="n">
        <x:f>IFERROR(G164/F164,0)</x:f>
        <x:v>0.2</x:v>
      </x:c>
      <x:c r="N164" s="4" t="n">
        <x:f>IFERROR(I164/G164,0)</x:f>
        <x:v>0.4</x:v>
      </x:c>
      <x:c r="O164" s="5" t="n">
        <x:f>IFERROR(H164/J164,0)</x:f>
        <x:v>19.176470588235293</x:v>
      </x:c>
    </x:row>
    <x:row r="165">
      <x:c r="A165" t="str">
        <x:f>'RAW_센터채널성과'!A165</x:f>
        <x:v>2026-06</x:v>
      </x:c>
      <x:c r="B165" t="str">
        <x:f>'RAW_센터채널성과'!B165</x:f>
        <x:v>목동센터</x:v>
      </x:c>
      <x:c r="C165" t="str">
        <x:f>'RAW_센터채널성과'!C165</x:f>
        <x:v>AI 학습관리</x:v>
      </x:c>
      <x:c r="D165" t="str">
        <x:f>'RAW_센터채널성과'!D165</x:f>
        <x:v>블로그</x:v>
      </x:c>
      <x:c r="E165" t="n">
        <x:f>'RAW_센터채널성과'!E165</x:f>
        <x:v>99</x:v>
      </x:c>
      <x:c r="F165" t="n">
        <x:f>'RAW_센터채널성과'!F165</x:f>
        <x:v>46</x:v>
      </x:c>
      <x:c r="G165" t="n">
        <x:f>'RAW_센터채널성과'!G165</x:f>
        <x:v>18</x:v>
      </x:c>
      <x:c r="H165" s="3" t="n">
        <x:f>'RAW_센터채널성과'!H165</x:f>
        <x:v>11920000</x:v>
      </x:c>
      <x:c r="I165" s="3" t="n">
        <x:f>'RAW_센터채널성과'!I165</x:f>
        <x:v>0</x:v>
      </x:c>
      <x:c r="J165" s="3" t="n">
        <x:f>'RAW_센터채널성과'!J165</x:f>
        <x:v>160000</x:v>
      </x:c>
      <x:c r="K165" t="n">
        <x:f>'RAW_센터채널성과'!K165</x:f>
        <x:v>0</x:v>
      </x:c>
      <x:c r="L165" s="4" t="n">
        <x:f>IFERROR(F165/E165,0)</x:f>
        <x:v>0.46464646464646464</x:v>
      </x:c>
      <x:c r="M165" s="4" t="n">
        <x:f>IFERROR(G165/F165,0)</x:f>
        <x:v>0.391304347826087</x:v>
      </x:c>
      <x:c r="N165" s="4" t="n">
        <x:f>IFERROR(I165/G165,0)</x:f>
        <x:v>0</x:v>
      </x:c>
      <x:c r="O165" s="5" t="n">
        <x:f>IFERROR(H165/J165,0)</x:f>
        <x:v>74.5</x:v>
      </x:c>
    </x:row>
    <x:row r="166">
      <x:c r="A166" t="str">
        <x:f>'RAW_센터채널성과'!A166</x:f>
        <x:v>2026-06</x:v>
      </x:c>
      <x:c r="B166" t="str">
        <x:f>'RAW_센터채널성과'!B166</x:f>
        <x:v>목동센터</x:v>
      </x:c>
      <x:c r="C166" t="str">
        <x:f>'RAW_센터채널성과'!C166</x:f>
        <x:v>고등 입시</x:v>
      </x:c>
      <x:c r="D166" t="str">
        <x:f>'RAW_센터채널성과'!D166</x:f>
        <x:v>카카오채널</x:v>
      </x:c>
      <x:c r="E166" t="n">
        <x:f>'RAW_센터채널성과'!E166</x:f>
        <x:v>76</x:v>
      </x:c>
      <x:c r="F166" t="n">
        <x:f>'RAW_센터채널성과'!F166</x:f>
        <x:v>49</x:v>
      </x:c>
      <x:c r="G166" t="n">
        <x:f>'RAW_센터채널성과'!G166</x:f>
        <x:v>25</x:v>
      </x:c>
      <x:c r="H166" s="3" t="n">
        <x:f>'RAW_센터채널성과'!H166</x:f>
        <x:v>21000000</x:v>
      </x:c>
      <x:c r="I166" s="3" t="n">
        <x:f>'RAW_센터채널성과'!I166</x:f>
        <x:v>0</x:v>
      </x:c>
      <x:c r="J166" s="3" t="n">
        <x:f>'RAW_센터채널성과'!J166</x:f>
        <x:v>190000</x:v>
      </x:c>
      <x:c r="K166" t="n">
        <x:f>'RAW_센터채널성과'!K166</x:f>
        <x:v>0</x:v>
      </x:c>
      <x:c r="L166" s="4" t="n">
        <x:f>IFERROR(F166/E166,0)</x:f>
        <x:v>0.6447368421052632</x:v>
      </x:c>
      <x:c r="M166" s="4" t="n">
        <x:f>IFERROR(G166/F166,0)</x:f>
        <x:v>0.5102040816326531</x:v>
      </x:c>
      <x:c r="N166" s="4" t="n">
        <x:f>IFERROR(I166/G166,0)</x:f>
        <x:v>0</x:v>
      </x:c>
      <x:c r="O166" s="5" t="n">
        <x:f>IFERROR(H166/J166,0)</x:f>
        <x:v>110.52631578947368</x:v>
      </x:c>
    </x:row>
    <x:row r="167">
      <x:c r="A167" t="str">
        <x:f>'RAW_센터채널성과'!A167</x:f>
        <x:v>2026-06</x:v>
      </x:c>
      <x:c r="B167" t="str">
        <x:f>'RAW_센터채널성과'!B167</x:f>
        <x:v>목동센터</x:v>
      </x:c>
      <x:c r="C167" t="str">
        <x:f>'RAW_센터채널성과'!C167</x:f>
        <x:v>초등 자기주도</x:v>
      </x:c>
      <x:c r="D167" t="str">
        <x:f>'RAW_센터채널성과'!D167</x:f>
        <x:v>네이버광고</x:v>
      </x:c>
      <x:c r="E167" t="n">
        <x:f>'RAW_센터채널성과'!E167</x:f>
        <x:v>73</x:v>
      </x:c>
      <x:c r="F167" t="n">
        <x:f>'RAW_센터채널성과'!F167</x:f>
        <x:v>37</x:v>
      </x:c>
      <x:c r="G167" t="n">
        <x:f>'RAW_센터채널성과'!G167</x:f>
        <x:v>13</x:v>
      </x:c>
      <x:c r="H167" s="3" t="n">
        <x:f>'RAW_센터채널성과'!H167</x:f>
        <x:v>8000000</x:v>
      </x:c>
      <x:c r="I167" s="3" t="n">
        <x:f>'RAW_센터채널성과'!I167</x:f>
        <x:v>1</x:v>
      </x:c>
      <x:c r="J167" s="3" t="n">
        <x:f>'RAW_센터채널성과'!J167</x:f>
        <x:v>830000</x:v>
      </x:c>
      <x:c r="K167" t="n">
        <x:f>'RAW_센터채널성과'!K167</x:f>
        <x:v>0</x:v>
      </x:c>
      <x:c r="L167" s="4" t="n">
        <x:f>IFERROR(F167/E167,0)</x:f>
        <x:v>0.5068493150684932</x:v>
      </x:c>
      <x:c r="M167" s="4" t="n">
        <x:f>IFERROR(G167/F167,0)</x:f>
        <x:v>0.35135135135135137</x:v>
      </x:c>
      <x:c r="N167" s="4" t="n">
        <x:f>IFERROR(I167/G167,0)</x:f>
        <x:v>0.07692307692307693</x:v>
      </x:c>
      <x:c r="O167" s="5" t="n">
        <x:f>IFERROR(H167/J167,0)</x:f>
        <x:v>9.63855421686747</x:v>
      </x:c>
    </x:row>
    <x:row r="168">
      <x:c r="A168" t="str">
        <x:f>'RAW_센터채널성과'!A168</x:f>
        <x:v>2026-06</x:v>
      </x:c>
      <x:c r="B168" t="str">
        <x:f>'RAW_센터채널성과'!B168</x:f>
        <x:v>목동센터</x:v>
      </x:c>
      <x:c r="C168" t="str">
        <x:f>'RAW_센터채널성과'!C168</x:f>
        <x:v>AI 학습관리</x:v>
      </x:c>
      <x:c r="D168" t="str">
        <x:f>'RAW_센터채널성과'!D168</x:f>
        <x:v>지인추천</x:v>
      </x:c>
      <x:c r="E168" t="n">
        <x:f>'RAW_센터채널성과'!E168</x:f>
        <x:v>91</x:v>
      </x:c>
      <x:c r="F168" t="n">
        <x:f>'RAW_센터채널성과'!F168</x:f>
        <x:v>53</x:v>
      </x:c>
      <x:c r="G168" t="n">
        <x:f>'RAW_센터채널성과'!G168</x:f>
        <x:v>20</x:v>
      </x:c>
      <x:c r="H168" s="3" t="n">
        <x:f>'RAW_센터채널성과'!H168</x:f>
        <x:v>17740000</x:v>
      </x:c>
      <x:c r="I168" s="3" t="n">
        <x:f>'RAW_센터채널성과'!I168</x:f>
        <x:v>0</x:v>
      </x:c>
      <x:c r="J168" s="3" t="n">
        <x:f>'RAW_센터채널성과'!J168</x:f>
        <x:v>270000</x:v>
      </x:c>
      <x:c r="K168" t="n">
        <x:f>'RAW_센터채널성과'!K168</x:f>
        <x:v>0</x:v>
      </x:c>
      <x:c r="L168" s="4" t="n">
        <x:f>IFERROR(F168/E168,0)</x:f>
        <x:v>0.5824175824175825</x:v>
      </x:c>
      <x:c r="M168" s="4" t="n">
        <x:f>IFERROR(G168/F168,0)</x:f>
        <x:v>0.37735849056603776</x:v>
      </x:c>
      <x:c r="N168" s="4" t="n">
        <x:f>IFERROR(I168/G168,0)</x:f>
        <x:v>0</x:v>
      </x:c>
      <x:c r="O168" s="5" t="n">
        <x:f>IFERROR(H168/J168,0)</x:f>
        <x:v>65.70370370370371</x:v>
      </x:c>
    </x:row>
    <x:row r="169">
      <x:c r="A169" t="str">
        <x:f>'RAW_센터채널성과'!A169</x:f>
        <x:v>2026-06</x:v>
      </x:c>
      <x:c r="B169" t="str">
        <x:f>'RAW_센터채널성과'!B169</x:f>
        <x:v>목동센터</x:v>
      </x:c>
      <x:c r="C169" t="str">
        <x:f>'RAW_센터채널성과'!C169</x:f>
        <x:v>고등 입시</x:v>
      </x:c>
      <x:c r="D169" t="str">
        <x:f>'RAW_센터채널성과'!D169</x:f>
        <x:v>설명회</x:v>
      </x:c>
      <x:c r="E169" t="n">
        <x:f>'RAW_센터채널성과'!E169</x:f>
        <x:v>58</x:v>
      </x:c>
      <x:c r="F169" t="n">
        <x:f>'RAW_센터채널성과'!F169</x:f>
        <x:v>36</x:v>
      </x:c>
      <x:c r="G169" t="n">
        <x:f>'RAW_센터채널성과'!G169</x:f>
        <x:v>9</x:v>
      </x:c>
      <x:c r="H169" s="3" t="n">
        <x:f>'RAW_센터채널성과'!H169</x:f>
        <x:v>5620000</x:v>
      </x:c>
      <x:c r="I169" s="3" t="n">
        <x:f>'RAW_센터채널성과'!I169</x:f>
        <x:v>0</x:v>
      </x:c>
      <x:c r="J169" s="3" t="n">
        <x:f>'RAW_센터채널성과'!J169</x:f>
        <x:v>170000</x:v>
      </x:c>
      <x:c r="K169" t="n">
        <x:f>'RAW_센터채널성과'!K169</x:f>
        <x:v>0</x:v>
      </x:c>
      <x:c r="L169" s="4" t="n">
        <x:f>IFERROR(F169/E169,0)</x:f>
        <x:v>0.6206896551724138</x:v>
      </x:c>
      <x:c r="M169" s="4" t="n">
        <x:f>IFERROR(G169/F169,0)</x:f>
        <x:v>0.25</x:v>
      </x:c>
      <x:c r="N169" s="4" t="n">
        <x:f>IFERROR(I169/G169,0)</x:f>
        <x:v>0</x:v>
      </x:c>
      <x:c r="O169" s="5" t="n">
        <x:f>IFERROR(H169/J169,0)</x:f>
        <x:v>33.05882352941177</x:v>
      </x:c>
    </x:row>
    <x:row r="170">
      <x:c r="A170" t="str">
        <x:f>'RAW_센터채널성과'!A170</x:f>
        <x:v>2026-06</x:v>
      </x:c>
      <x:c r="B170" t="str">
        <x:f>'RAW_센터채널성과'!B170</x:f>
        <x:v>대전센터</x:v>
      </x:c>
      <x:c r="C170" t="str">
        <x:f>'RAW_센터채널성과'!C170</x:f>
        <x:v>초등 자기주도</x:v>
      </x:c>
      <x:c r="D170" t="str">
        <x:f>'RAW_센터채널성과'!D170</x:f>
        <x:v>홈페이지</x:v>
      </x:c>
      <x:c r="E170" t="n">
        <x:f>'RAW_센터채널성과'!E170</x:f>
        <x:v>73</x:v>
      </x:c>
      <x:c r="F170" t="n">
        <x:f>'RAW_센터채널성과'!F170</x:f>
        <x:v>39</x:v>
      </x:c>
      <x:c r="G170" t="n">
        <x:f>'RAW_센터채널성과'!G170</x:f>
        <x:v>14</x:v>
      </x:c>
      <x:c r="H170" s="3" t="n">
        <x:f>'RAW_센터채널성과'!H170</x:f>
        <x:v>7490000</x:v>
      </x:c>
      <x:c r="I170" s="3" t="n">
        <x:f>'RAW_센터채널성과'!I170</x:f>
        <x:v>0</x:v>
      </x:c>
      <x:c r="J170" s="3" t="n">
        <x:f>'RAW_센터채널성과'!J170</x:f>
        <x:v>170000</x:v>
      </x:c>
      <x:c r="K170" t="n">
        <x:f>'RAW_센터채널성과'!K170</x:f>
        <x:v>0</x:v>
      </x:c>
      <x:c r="L170" s="4" t="n">
        <x:f>IFERROR(F170/E170,0)</x:f>
        <x:v>0.5342465753424658</x:v>
      </x:c>
      <x:c r="M170" s="4" t="n">
        <x:f>IFERROR(G170/F170,0)</x:f>
        <x:v>0.358974358974359</x:v>
      </x:c>
      <x:c r="N170" s="4" t="n">
        <x:f>IFERROR(I170/G170,0)</x:f>
        <x:v>0</x:v>
      </x:c>
      <x:c r="O170" s="5" t="n">
        <x:f>IFERROR(H170/J170,0)</x:f>
        <x:v>44.05882352941177</x:v>
      </x:c>
    </x:row>
    <x:row r="171">
      <x:c r="A171" t="str">
        <x:f>'RAW_센터채널성과'!A171</x:f>
        <x:v>2026-06</x:v>
      </x:c>
      <x:c r="B171" t="str">
        <x:f>'RAW_센터채널성과'!B171</x:f>
        <x:v>대전센터</x:v>
      </x:c>
      <x:c r="C171" t="str">
        <x:f>'RAW_센터채널성과'!C171</x:f>
        <x:v>학부모 코칭</x:v>
      </x:c>
      <x:c r="D171" t="str">
        <x:f>'RAW_센터채널성과'!D171</x:f>
        <x:v>블로그</x:v>
      </x:c>
      <x:c r="E171" t="n">
        <x:f>'RAW_센터채널성과'!E171</x:f>
        <x:v>40</x:v>
      </x:c>
      <x:c r="F171" t="n">
        <x:f>'RAW_센터채널성과'!F171</x:f>
        <x:v>17</x:v>
      </x:c>
      <x:c r="G171" t="n">
        <x:f>'RAW_센터채널성과'!G171</x:f>
        <x:v>7</x:v>
      </x:c>
      <x:c r="H171" s="3" t="n">
        <x:f>'RAW_센터채널성과'!H171</x:f>
        <x:v>5990000</x:v>
      </x:c>
      <x:c r="I171" s="3" t="n">
        <x:f>'RAW_센터채널성과'!I171</x:f>
        <x:v>0</x:v>
      </x:c>
      <x:c r="J171" s="3" t="n">
        <x:f>'RAW_센터채널성과'!J171</x:f>
        <x:v>70000</x:v>
      </x:c>
      <x:c r="K171" t="str">
        <x:f>'RAW_센터채널성과'!K171</x:f>
        <x:v>센터명 표기 확인 필요</x:v>
      </x:c>
      <x:c r="L171" s="4" t="n">
        <x:f>IFERROR(F171/E171,0)</x:f>
        <x:v>0.425</x:v>
      </x:c>
      <x:c r="M171" s="4" t="n">
        <x:f>IFERROR(G171/F171,0)</x:f>
        <x:v>0.4117647058823529</x:v>
      </x:c>
      <x:c r="N171" s="4" t="n">
        <x:f>IFERROR(I171/G171,0)</x:f>
        <x:v>0</x:v>
      </x:c>
      <x:c r="O171" s="5" t="n">
        <x:f>IFERROR(H171/J171,0)</x:f>
        <x:v>85.57142857142857</x:v>
      </x:c>
    </x:row>
    <x:row r="172">
      <x:c r="A172" t="str">
        <x:f>'RAW_센터채널성과'!A172</x:f>
        <x:v>2026-06</x:v>
      </x:c>
      <x:c r="B172" t="str">
        <x:f>'RAW_센터채널성과'!B172</x:f>
        <x:v>대전센터</x:v>
      </x:c>
      <x:c r="C172" t="str">
        <x:f>'RAW_센터채널성과'!C172</x:f>
        <x:v>중등 내신</x:v>
      </x:c>
      <x:c r="D172" t="str">
        <x:f>'RAW_센터채널성과'!D172</x:f>
        <x:v>카카오채널</x:v>
      </x:c>
      <x:c r="E172" t="n">
        <x:f>'RAW_센터채널성과'!E172</x:f>
        <x:v>30</x:v>
      </x:c>
      <x:c r="F172" t="n">
        <x:f>'RAW_센터채널성과'!F172</x:f>
        <x:v>20</x:v>
      </x:c>
      <x:c r="G172" t="n">
        <x:f>'RAW_센터채널성과'!G172</x:f>
        <x:v>6</x:v>
      </x:c>
      <x:c r="H172" s="3" t="n">
        <x:f>'RAW_센터채널성과'!H172</x:f>
        <x:v>5380000</x:v>
      </x:c>
      <x:c r="I172" s="3" t="n">
        <x:f>'RAW_센터채널성과'!I172</x:f>
        <x:v>0</x:v>
      </x:c>
      <x:c r="J172" s="3" t="n">
        <x:f>'RAW_센터채널성과'!J172</x:f>
        <x:v>90000</x:v>
      </x:c>
      <x:c r="K172" t="n">
        <x:f>'RAW_센터채널성과'!K172</x:f>
        <x:v>0</x:v>
      </x:c>
      <x:c r="L172" s="4" t="n">
        <x:f>IFERROR(F172/E172,0)</x:f>
        <x:v>0.6666666666666666</x:v>
      </x:c>
      <x:c r="M172" s="4" t="n">
        <x:f>IFERROR(G172/F172,0)</x:f>
        <x:v>0.3</x:v>
      </x:c>
      <x:c r="N172" s="4" t="n">
        <x:f>IFERROR(I172/G172,0)</x:f>
        <x:v>0</x:v>
      </x:c>
      <x:c r="O172" s="5" t="n">
        <x:f>IFERROR(H172/J172,0)</x:f>
        <x:v>59.77777777777778</x:v>
      </x:c>
    </x:row>
    <x:row r="173">
      <x:c r="A173" t="str">
        <x:f>'RAW_센터채널성과'!A173</x:f>
        <x:v>2026-06</x:v>
      </x:c>
      <x:c r="B173" t="str">
        <x:f>'RAW_센터채널성과'!B173</x:f>
        <x:v>대전센터</x:v>
      </x:c>
      <x:c r="C173" t="str">
        <x:f>'RAW_센터채널성과'!C173</x:f>
        <x:v>AI 학습관리</x:v>
      </x:c>
      <x:c r="D173" t="str">
        <x:f>'RAW_센터채널성과'!D173</x:f>
        <x:v>네이버광고</x:v>
      </x:c>
      <x:c r="E173" t="n">
        <x:f>'RAW_센터채널성과'!E173</x:f>
        <x:v>27</x:v>
      </x:c>
      <x:c r="F173" t="n">
        <x:f>'RAW_센터채널성과'!F173</x:f>
        <x:v>19</x:v>
      </x:c>
      <x:c r="G173" t="n">
        <x:f>'RAW_센터채널성과'!G173</x:f>
        <x:v>10</x:v>
      </x:c>
      <x:c r="H173" s="3" t="n">
        <x:f>'RAW_센터채널성과'!H173</x:f>
        <x:v>8980000</x:v>
      </x:c>
      <x:c r="I173" s="3" t="n">
        <x:f>'RAW_센터채널성과'!I173</x:f>
        <x:v>0</x:v>
      </x:c>
      <x:c r="J173" s="3" t="n">
        <x:f>'RAW_센터채널성과'!J173</x:f>
        <x:v>440000</x:v>
      </x:c>
      <x:c r="K173" t="n">
        <x:f>'RAW_센터채널성과'!K173</x:f>
        <x:v>0</x:v>
      </x:c>
      <x:c r="L173" s="4" t="n">
        <x:f>IFERROR(F173/E173,0)</x:f>
        <x:v>0.7037037037037037</x:v>
      </x:c>
      <x:c r="M173" s="4" t="n">
        <x:f>IFERROR(G173/F173,0)</x:f>
        <x:v>0.5263157894736842</x:v>
      </x:c>
      <x:c r="N173" s="4" t="n">
        <x:f>IFERROR(I173/G173,0)</x:f>
        <x:v>0</x:v>
      </x:c>
      <x:c r="O173" s="5" t="n">
        <x:f>IFERROR(H173/J173,0)</x:f>
        <x:v>20.40909090909091</x:v>
      </x:c>
    </x:row>
    <x:row r="174">
      <x:c r="A174" t="str">
        <x:f>'RAW_센터채널성과'!A174</x:f>
        <x:v>2026-06</x:v>
      </x:c>
      <x:c r="B174" t="str">
        <x:f>'RAW_센터채널성과'!B174</x:f>
        <x:v>대전센터</x:v>
      </x:c>
      <x:c r="C174" t="str">
        <x:f>'RAW_센터채널성과'!C174</x:f>
        <x:v>고등 입시</x:v>
      </x:c>
      <x:c r="D174" t="str">
        <x:f>'RAW_센터채널성과'!D174</x:f>
        <x:v>지인추천</x:v>
      </x:c>
      <x:c r="E174" t="n">
        <x:f>'RAW_센터채널성과'!E174</x:f>
        <x:v>78</x:v>
      </x:c>
      <x:c r="F174" t="n">
        <x:f>'RAW_센터채널성과'!F174</x:f>
        <x:v>31</x:v>
      </x:c>
      <x:c r="G174" t="n">
        <x:f>'RAW_센터채널성과'!G174</x:f>
        <x:v>8</x:v>
      </x:c>
      <x:c r="H174" s="3" t="n">
        <x:f>'RAW_센터채널성과'!H174</x:f>
        <x:v>7690000</x:v>
      </x:c>
      <x:c r="I174" s="3" t="n">
        <x:f>'RAW_센터채널성과'!I174</x:f>
        <x:v>0</x:v>
      </x:c>
      <x:c r="J174" s="3" t="n">
        <x:f>'RAW_센터채널성과'!J174</x:f>
        <x:v>160000</x:v>
      </x:c>
      <x:c r="K174" t="n">
        <x:f>'RAW_센터채널성과'!K174</x:f>
        <x:v>0</x:v>
      </x:c>
      <x:c r="L174" s="4" t="n">
        <x:f>IFERROR(F174/E174,0)</x:f>
        <x:v>0.3974358974358974</x:v>
      </x:c>
      <x:c r="M174" s="4" t="n">
        <x:f>IFERROR(G174/F174,0)</x:f>
        <x:v>0.25806451612903225</x:v>
      </x:c>
      <x:c r="N174" s="4" t="n">
        <x:f>IFERROR(I174/G174,0)</x:f>
        <x:v>0</x:v>
      </x:c>
      <x:c r="O174" s="5" t="n">
        <x:f>IFERROR(H174/J174,0)</x:f>
        <x:v>48.0625</x:v>
      </x:c>
    </x:row>
    <x:row r="175">
      <x:c r="A175" t="str">
        <x:f>'RAW_센터채널성과'!A175</x:f>
        <x:v>2026-06</x:v>
      </x:c>
      <x:c r="B175" t="str">
        <x:f>'RAW_센터채널성과'!B175</x:f>
        <x:v>대전센터</x:v>
      </x:c>
      <x:c r="C175" t="str">
        <x:f>'RAW_센터채널성과'!C175</x:f>
        <x:v>초등 자기주도</x:v>
      </x:c>
      <x:c r="D175" t="str">
        <x:f>'RAW_센터채널성과'!D175</x:f>
        <x:v>설명회</x:v>
      </x:c>
      <x:c r="E175" t="n">
        <x:f>'RAW_센터채널성과'!E175</x:f>
        <x:v>100</x:v>
      </x:c>
      <x:c r="F175" t="n">
        <x:f>'RAW_센터채널성과'!F175</x:f>
        <x:v>59</x:v>
      </x:c>
      <x:c r="G175" t="n">
        <x:f>'RAW_센터채널성과'!G175</x:f>
        <x:v>20</x:v>
      </x:c>
      <x:c r="H175" s="3" t="n">
        <x:f>'RAW_센터채널성과'!H175</x:f>
        <x:v>9900000</x:v>
      </x:c>
      <x:c r="I175" s="3" t="n">
        <x:f>'RAW_센터채널성과'!I175</x:f>
        <x:v>2</x:v>
      </x:c>
      <x:c r="J175" s="3" t="n">
        <x:f>'RAW_센터채널성과'!J175</x:f>
        <x:v>180000</x:v>
      </x:c>
      <x:c r="K175" t="n">
        <x:f>'RAW_센터채널성과'!K175</x:f>
        <x:v>0</x:v>
      </x:c>
      <x:c r="L175" s="4" t="n">
        <x:f>IFERROR(F175/E175,0)</x:f>
        <x:v>0.59</x:v>
      </x:c>
      <x:c r="M175" s="4" t="n">
        <x:f>IFERROR(G175/F175,0)</x:f>
        <x:v>0.3389830508474576</x:v>
      </x:c>
      <x:c r="N175" s="4" t="n">
        <x:f>IFERROR(I175/G175,0)</x:f>
        <x:v>0.1</x:v>
      </x:c>
      <x:c r="O175" s="5" t="n">
        <x:f>IFERROR(H175/J175,0)</x:f>
        <x:v>55</x:v>
      </x:c>
    </x:row>
    <x:row r="176">
      <x:c r="A176" t="str">
        <x:f>'RAW_센터채널성과'!A176</x:f>
        <x:v>2026-06</x:v>
      </x:c>
      <x:c r="B176" t="str">
        <x:f>'RAW_센터채널성과'!B176</x:f>
        <x:v>부산센터</x:v>
      </x:c>
      <x:c r="C176" t="str">
        <x:f>'RAW_센터채널성과'!C176</x:f>
        <x:v>AI 학습관리</x:v>
      </x:c>
      <x:c r="D176" t="str">
        <x:f>'RAW_센터채널성과'!D176</x:f>
        <x:v>홈페이지</x:v>
      </x:c>
      <x:c r="E176" t="n">
        <x:f>'RAW_센터채널성과'!E176</x:f>
        <x:v>41</x:v>
      </x:c>
      <x:c r="F176" t="n">
        <x:f>'RAW_센터채널성과'!F176</x:f>
        <x:v>23</x:v>
      </x:c>
      <x:c r="G176" t="n">
        <x:f>'RAW_센터채널성과'!G176</x:f>
        <x:v>7</x:v>
      </x:c>
      <x:c r="H176" s="3" t="n">
        <x:f>'RAW_센터채널성과'!H176</x:f>
        <x:v>5140000</x:v>
      </x:c>
      <x:c r="I176" s="3" t="n">
        <x:f>'RAW_센터채널성과'!I176</x:f>
        <x:v>0</x:v>
      </x:c>
      <x:c r="J176" s="3" t="n">
        <x:f>'RAW_센터채널성과'!J176</x:f>
        <x:v>90000</x:v>
      </x:c>
      <x:c r="K176" t="n">
        <x:f>'RAW_센터채널성과'!K176</x:f>
        <x:v>0</x:v>
      </x:c>
      <x:c r="L176" s="4" t="n">
        <x:f>IFERROR(F176/E176,0)</x:f>
        <x:v>0.5609756097560976</x:v>
      </x:c>
      <x:c r="M176" s="4" t="n">
        <x:f>IFERROR(G176/F176,0)</x:f>
        <x:v>0.30434782608695654</x:v>
      </x:c>
      <x:c r="N176" s="4" t="n">
        <x:f>IFERROR(I176/G176,0)</x:f>
        <x:v>0</x:v>
      </x:c>
      <x:c r="O176" s="5" t="n">
        <x:f>IFERROR(H176/J176,0)</x:f>
        <x:v>57.111111111111114</x:v>
      </x:c>
    </x:row>
    <x:row r="177">
      <x:c r="A177" t="str">
        <x:f>'RAW_센터채널성과'!A177</x:f>
        <x:v>2026-06</x:v>
      </x:c>
      <x:c r="B177" t="str">
        <x:f>'RAW_센터채널성과'!B177</x:f>
        <x:v>부산센터</x:v>
      </x:c>
      <x:c r="C177" t="str">
        <x:f>'RAW_센터채널성과'!C177</x:f>
        <x:v>고등 입시</x:v>
      </x:c>
      <x:c r="D177" t="str">
        <x:f>'RAW_센터채널성과'!D177</x:f>
        <x:v>블로그</x:v>
      </x:c>
      <x:c r="E177" t="n">
        <x:f>'RAW_센터채널성과'!E177</x:f>
        <x:v>103</x:v>
      </x:c>
      <x:c r="F177" t="n">
        <x:f>'RAW_센터채널성과'!F177</x:f>
        <x:v>48</x:v>
      </x:c>
      <x:c r="G177" t="n">
        <x:f>'RAW_센터채널성과'!G177</x:f>
        <x:v>12</x:v>
      </x:c>
      <x:c r="H177" s="3" t="n">
        <x:f>'RAW_센터채널성과'!H177</x:f>
        <x:v>10020000</x:v>
      </x:c>
      <x:c r="I177" s="3" t="n">
        <x:f>'RAW_센터채널성과'!I177</x:f>
        <x:v>0</x:v>
      </x:c>
      <x:c r="J177" s="3" t="n">
        <x:f>'RAW_센터채널성과'!J177</x:f>
        <x:v>180000</x:v>
      </x:c>
      <x:c r="K177" t="n">
        <x:f>'RAW_센터채널성과'!K177</x:f>
        <x:v>0</x:v>
      </x:c>
      <x:c r="L177" s="4" t="n">
        <x:f>IFERROR(F177/E177,0)</x:f>
        <x:v>0.46601941747572817</x:v>
      </x:c>
      <x:c r="M177" s="4" t="n">
        <x:f>IFERROR(G177/F177,0)</x:f>
        <x:v>0.25</x:v>
      </x:c>
      <x:c r="N177" s="4" t="n">
        <x:f>IFERROR(I177/G177,0)</x:f>
        <x:v>0</x:v>
      </x:c>
      <x:c r="O177" s="5" t="n">
        <x:f>IFERROR(H177/J177,0)</x:f>
        <x:v>55.666666666666664</x:v>
      </x:c>
    </x:row>
    <x:row r="178">
      <x:c r="A178" t="str">
        <x:f>'RAW_센터채널성과'!A178</x:f>
        <x:v>2026-06</x:v>
      </x:c>
      <x:c r="B178" t="str">
        <x:f>'RAW_센터채널성과'!B178</x:f>
        <x:v>부산센터</x:v>
      </x:c>
      <x:c r="C178" t="str">
        <x:f>'RAW_센터채널성과'!C178</x:f>
        <x:v>초등 자기주도</x:v>
      </x:c>
      <x:c r="D178" t="str">
        <x:f>'RAW_센터채널성과'!D178</x:f>
        <x:v>카카오채널</x:v>
      </x:c>
      <x:c r="E178" t="n">
        <x:f>'RAW_센터채널성과'!E178</x:f>
        <x:v>72</x:v>
      </x:c>
      <x:c r="F178" t="n">
        <x:f>'RAW_센터채널성과'!F178</x:f>
        <x:v>37</x:v>
      </x:c>
      <x:c r="G178" t="n">
        <x:f>'RAW_센터채널성과'!G178</x:f>
        <x:v>15</x:v>
      </x:c>
      <x:c r="H178" s="3" t="n">
        <x:f>'RAW_센터채널성과'!H178</x:f>
        <x:v>9280000</x:v>
      </x:c>
      <x:c r="I178" s="3" t="n">
        <x:f>'RAW_센터채널성과'!I178</x:f>
        <x:v>0</x:v>
      </x:c>
      <x:c r="J178" s="3" t="n">
        <x:f>'RAW_센터채널성과'!J178</x:f>
        <x:v>270000</x:v>
      </x:c>
      <x:c r="K178" t="n">
        <x:f>'RAW_센터채널성과'!K178</x:f>
        <x:v>0</x:v>
      </x:c>
      <x:c r="L178" s="4" t="n">
        <x:f>IFERROR(F178/E178,0)</x:f>
        <x:v>0.5138888888888888</x:v>
      </x:c>
      <x:c r="M178" s="4" t="n">
        <x:f>IFERROR(G178/F178,0)</x:f>
        <x:v>0.40540540540540543</x:v>
      </x:c>
      <x:c r="N178" s="4" t="n">
        <x:f>IFERROR(I178/G178,0)</x:f>
        <x:v>0</x:v>
      </x:c>
      <x:c r="O178" s="5" t="n">
        <x:f>IFERROR(H178/J178,0)</x:f>
        <x:v>34.370370370370374</x:v>
      </x:c>
    </x:row>
    <x:row r="179">
      <x:c r="A179" t="str">
        <x:f>'RAW_센터채널성과'!A179</x:f>
        <x:v>2026-06</x:v>
      </x:c>
      <x:c r="B179" t="str">
        <x:f>'RAW_센터채널성과'!B179</x:f>
        <x:v>부산센터</x:v>
      </x:c>
      <x:c r="C179" t="str">
        <x:f>'RAW_센터채널성과'!C179</x:f>
        <x:v>학부모 코칭</x:v>
      </x:c>
      <x:c r="D179" t="str">
        <x:f>'RAW_센터채널성과'!D179</x:f>
        <x:v>네이버광고</x:v>
      </x:c>
      <x:c r="E179" t="n">
        <x:f>'RAW_센터채널성과'!E179</x:f>
        <x:v>53</x:v>
      </x:c>
      <x:c r="F179" t="n">
        <x:f>'RAW_센터채널성과'!F179</x:f>
        <x:v>21</x:v>
      </x:c>
      <x:c r="G179" t="n">
        <x:f>'RAW_센터채널성과'!G179</x:f>
        <x:v>9</x:v>
      </x:c>
      <x:c r="H179" s="3" t="n">
        <x:f>'RAW_센터채널성과'!H179</x:f>
        <x:v>6880000</x:v>
      </x:c>
      <x:c r="I179" s="3" t="n">
        <x:f>'RAW_센터채널성과'!I179</x:f>
        <x:v>0</x:v>
      </x:c>
      <x:c r="J179" s="3" t="n">
        <x:f>'RAW_센터채널성과'!J179</x:f>
        <x:v>540000</x:v>
      </x:c>
      <x:c r="K179" t="n">
        <x:f>'RAW_센터채널성과'!K179</x:f>
        <x:v>0</x:v>
      </x:c>
      <x:c r="L179" s="4" t="n">
        <x:f>IFERROR(F179/E179,0)</x:f>
        <x:v>0.39622641509433965</x:v>
      </x:c>
      <x:c r="M179" s="4" t="n">
        <x:f>IFERROR(G179/F179,0)</x:f>
        <x:v>0.42857142857142855</x:v>
      </x:c>
      <x:c r="N179" s="4" t="n">
        <x:f>IFERROR(I179/G179,0)</x:f>
        <x:v>0</x:v>
      </x:c>
      <x:c r="O179" s="5" t="n">
        <x:f>IFERROR(H179/J179,0)</x:f>
        <x:v>12.74074074074074</x:v>
      </x:c>
    </x:row>
    <x:row r="180">
      <x:c r="A180" t="str">
        <x:f>'RAW_센터채널성과'!A180</x:f>
        <x:v>2026-06</x:v>
      </x:c>
      <x:c r="B180" t="str">
        <x:f>'RAW_센터채널성과'!B180</x:f>
        <x:v>부산센터</x:v>
      </x:c>
      <x:c r="C180" t="str">
        <x:f>'RAW_센터채널성과'!C180</x:f>
        <x:v>중등 내신</x:v>
      </x:c>
      <x:c r="D180" t="str">
        <x:f>'RAW_센터채널성과'!D180</x:f>
        <x:v>지인추천</x:v>
      </x:c>
      <x:c r="E180" t="n">
        <x:f>'RAW_센터채널성과'!E180</x:f>
        <x:v>99</x:v>
      </x:c>
      <x:c r="F180" t="n">
        <x:f>'RAW_센터채널성과'!F180</x:f>
        <x:v>49</x:v>
      </x:c>
      <x:c r="G180" t="n">
        <x:f>'RAW_센터채널성과'!G180</x:f>
        <x:v>21</x:v>
      </x:c>
      <x:c r="H180" s="3" t="n">
        <x:f>'RAW_센터채널성과'!H180</x:f>
        <x:v>16810000</x:v>
      </x:c>
      <x:c r="I180" s="3" t="n">
        <x:f>'RAW_센터채널성과'!I180</x:f>
        <x:v>0</x:v>
      </x:c>
      <x:c r="J180" s="3" t="n">
        <x:f>'RAW_센터채널성과'!J180</x:f>
        <x:v>320000</x:v>
      </x:c>
      <x:c r="K180" t="str">
        <x:f>'RAW_센터채널성과'!K180</x:f>
        <x:v>센터명 표기 확인 필요</x:v>
      </x:c>
      <x:c r="L180" s="4" t="n">
        <x:f>IFERROR(F180/E180,0)</x:f>
        <x:v>0.494949494949495</x:v>
      </x:c>
      <x:c r="M180" s="4" t="n">
        <x:f>IFERROR(G180/F180,0)</x:f>
        <x:v>0.42857142857142855</x:v>
      </x:c>
      <x:c r="N180" s="4" t="n">
        <x:f>IFERROR(I180/G180,0)</x:f>
        <x:v>0</x:v>
      </x:c>
      <x:c r="O180" s="5" t="n">
        <x:f>IFERROR(H180/J180,0)</x:f>
        <x:v>52.53125</x:v>
      </x:c>
    </x:row>
    <x:row r="181">
      <x:c r="A181" t="str">
        <x:f>'RAW_센터채널성과'!A181</x:f>
        <x:v>2026-06</x:v>
      </x:c>
      <x:c r="B181" t="str">
        <x:f>'RAW_센터채널성과'!B181</x:f>
        <x:v>부산센터</x:v>
      </x:c>
      <x:c r="C181" t="str">
        <x:f>'RAW_센터채널성과'!C181</x:f>
        <x:v>AI 학습관리</x:v>
      </x:c>
      <x:c r="D181" t="str">
        <x:f>'RAW_센터채널성과'!D181</x:f>
        <x:v>설명회</x:v>
      </x:c>
      <x:c r="E181" t="n">
        <x:f>'RAW_센터채널성과'!E181</x:f>
        <x:v>42</x:v>
      </x:c>
      <x:c r="F181" t="n">
        <x:f>'RAW_센터채널성과'!F181</x:f>
        <x:v>21</x:v>
      </x:c>
      <x:c r="G181" t="n">
        <x:f>'RAW_센터채널성과'!G181</x:f>
        <x:v>9</x:v>
      </x:c>
      <x:c r="H181" s="3" t="n">
        <x:f>'RAW_센터채널성과'!H181</x:f>
        <x:v>8830000</x:v>
      </x:c>
      <x:c r="I181" s="3" t="n">
        <x:f>'RAW_센터채널성과'!I181</x:f>
        <x:v>0</x:v>
      </x:c>
      <x:c r="J181" s="3" t="n">
        <x:f>'RAW_센터채널성과'!J181</x:f>
        <x:v>140000</x:v>
      </x:c>
      <x:c r="K181" t="n">
        <x:f>'RAW_센터채널성과'!K181</x:f>
        <x:v>0</x:v>
      </x:c>
      <x:c r="L181" s="4" t="n">
        <x:f>IFERROR(F181/E181,0)</x:f>
        <x:v>0.5</x:v>
      </x:c>
      <x:c r="M181" s="4" t="n">
        <x:f>IFERROR(G181/F181,0)</x:f>
        <x:v>0.42857142857142855</x:v>
      </x:c>
      <x:c r="N181" s="4" t="n">
        <x:f>IFERROR(I181/G181,0)</x:f>
        <x:v>0</x:v>
      </x:c>
      <x:c r="O181" s="5" t="n">
        <x:f>IFERROR(H181/J181,0)</x:f>
        <x:v>63.07142857142857</x:v>
      </x:c>
    </x:row>
    <x:row r="182">
      <x:c r="A182" t="str">
        <x:f>'RAW_센터채널성과'!A182</x:f>
        <x:v>2026-07</x:v>
      </x:c>
      <x:c r="B182" t="str">
        <x:f>'RAW_센터채널성과'!B182</x:f>
        <x:v>강남센터</x:v>
      </x:c>
      <x:c r="C182" t="str">
        <x:f>'RAW_센터채널성과'!C182</x:f>
        <x:v>중등 내신</x:v>
      </x:c>
      <x:c r="D182" t="str">
        <x:f>'RAW_센터채널성과'!D182</x:f>
        <x:v>홈페이지</x:v>
      </x:c>
      <x:c r="E182" t="n">
        <x:f>'RAW_센터채널성과'!E182</x:f>
        <x:v>36</x:v>
      </x:c>
      <x:c r="F182" t="n">
        <x:f>'RAW_센터채널성과'!F182</x:f>
        <x:v>22</x:v>
      </x:c>
      <x:c r="G182" t="n">
        <x:f>'RAW_센터채널성과'!G182</x:f>
        <x:v>5</x:v>
      </x:c>
      <x:c r="H182" s="3" t="n">
        <x:f>'RAW_센터채널성과'!H182</x:f>
        <x:v>2960000</x:v>
      </x:c>
      <x:c r="I182" s="3" t="n">
        <x:f>'RAW_센터채널성과'!I182</x:f>
        <x:v>0</x:v>
      </x:c>
      <x:c r="J182" s="3" t="n">
        <x:f>'RAW_센터채널성과'!J182</x:f>
        <x:v>130000</x:v>
      </x:c>
      <x:c r="K182" t="str">
        <x:f>'RAW_센터채널성과'!K182</x:f>
        <x:v>설명회 유입 포함</x:v>
      </x:c>
      <x:c r="L182" s="4" t="n">
        <x:f>IFERROR(F182/E182,0)</x:f>
        <x:v>0.6111111111111112</x:v>
      </x:c>
      <x:c r="M182" s="4" t="n">
        <x:f>IFERROR(G182/F182,0)</x:f>
        <x:v>0.22727272727272727</x:v>
      </x:c>
      <x:c r="N182" s="4" t="n">
        <x:f>IFERROR(I182/G182,0)</x:f>
        <x:v>0</x:v>
      </x:c>
      <x:c r="O182" s="5" t="n">
        <x:f>IFERROR(H182/J182,0)</x:f>
        <x:v>22.76923076923077</x:v>
      </x:c>
    </x:row>
    <x:row r="183">
      <x:c r="A183" t="str">
        <x:f>'RAW_센터채널성과'!A183</x:f>
        <x:v>2026-07</x:v>
      </x:c>
      <x:c r="B183" t="str">
        <x:f>'RAW_센터채널성과'!B183</x:f>
        <x:v>강남센터</x:v>
      </x:c>
      <x:c r="C183" t="str">
        <x:f>'RAW_센터채널성과'!C183</x:f>
        <x:v>AI 학습관리</x:v>
      </x:c>
      <x:c r="D183" t="str">
        <x:f>'RAW_센터채널성과'!D183</x:f>
        <x:v>블로그</x:v>
      </x:c>
      <x:c r="E183" t="n">
        <x:f>'RAW_센터채널성과'!E183</x:f>
        <x:v>64</x:v>
      </x:c>
      <x:c r="F183" t="n">
        <x:f>'RAW_센터채널성과'!F183</x:f>
        <x:v>43</x:v>
      </x:c>
      <x:c r="G183" t="n">
        <x:f>'RAW_센터채널성과'!G183</x:f>
        <x:v>11</x:v>
      </x:c>
      <x:c r="H183" s="3" t="n">
        <x:f>'RAW_센터채널성과'!H183</x:f>
        <x:v>10300000</x:v>
      </x:c>
      <x:c r="I183" s="3" t="n">
        <x:f>'RAW_센터채널성과'!I183</x:f>
        <x:v>0</x:v>
      </x:c>
      <x:c r="J183" s="3" t="n">
        <x:f>'RAW_센터채널성과'!J183</x:f>
        <x:v>140000</x:v>
      </x:c>
      <x:c r="K183" t="n">
        <x:f>'RAW_센터채널성과'!K183</x:f>
        <x:v>0</x:v>
      </x:c>
      <x:c r="L183" s="4" t="n">
        <x:f>IFERROR(F183/E183,0)</x:f>
        <x:v>0.671875</x:v>
      </x:c>
      <x:c r="M183" s="4" t="n">
        <x:f>IFERROR(G183/F183,0)</x:f>
        <x:v>0.2558139534883721</x:v>
      </x:c>
      <x:c r="N183" s="4" t="n">
        <x:f>IFERROR(I183/G183,0)</x:f>
        <x:v>0</x:v>
      </x:c>
      <x:c r="O183" s="5" t="n">
        <x:f>IFERROR(H183/J183,0)</x:f>
        <x:v>73.57142857142857</x:v>
      </x:c>
    </x:row>
    <x:row r="184">
      <x:c r="A184" t="str">
        <x:f>'RAW_센터채널성과'!A184</x:f>
        <x:v>2026-07</x:v>
      </x:c>
      <x:c r="B184" t="str">
        <x:f>'RAW_센터채널성과'!B184</x:f>
        <x:v>강남센터</x:v>
      </x:c>
      <x:c r="C184" t="str">
        <x:f>'RAW_센터채널성과'!C184</x:f>
        <x:v>고등 입시</x:v>
      </x:c>
      <x:c r="D184" t="str">
        <x:f>'RAW_센터채널성과'!D184</x:f>
        <x:v>카카오채널</x:v>
      </x:c>
      <x:c r="E184" t="n">
        <x:f>'RAW_센터채널성과'!E184</x:f>
        <x:v>28</x:v>
      </x:c>
      <x:c r="F184" t="n">
        <x:f>'RAW_센터채널성과'!F184</x:f>
        <x:v>11</x:v>
      </x:c>
      <x:c r="G184" t="n">
        <x:f>'RAW_센터채널성과'!G184</x:f>
        <x:v>3</x:v>
      </x:c>
      <x:c r="H184" s="3" t="n">
        <x:f>'RAW_센터채널성과'!H184</x:f>
        <x:v>2770000</x:v>
      </x:c>
      <x:c r="I184" s="3" t="n">
        <x:f>'RAW_센터채널성과'!I184</x:f>
        <x:v>0</x:v>
      </x:c>
      <x:c r="J184" s="3" t="n">
        <x:f>'RAW_센터채널성과'!J184</x:f>
        <x:v>80000</x:v>
      </x:c>
      <x:c r="K184" t="n">
        <x:f>'RAW_센터채널성과'!K184</x:f>
        <x:v>0</x:v>
      </x:c>
      <x:c r="L184" s="4" t="n">
        <x:f>IFERROR(F184/E184,0)</x:f>
        <x:v>0.39285714285714285</x:v>
      </x:c>
      <x:c r="M184" s="4" t="n">
        <x:f>IFERROR(G184/F184,0)</x:f>
        <x:v>0.2727272727272727</x:v>
      </x:c>
      <x:c r="N184" s="4" t="n">
        <x:f>IFERROR(I184/G184,0)</x:f>
        <x:v>0</x:v>
      </x:c>
      <x:c r="O184" s="5" t="n">
        <x:f>IFERROR(H184/J184,0)</x:f>
        <x:v>34.625</x:v>
      </x:c>
    </x:row>
    <x:row r="185">
      <x:c r="A185" t="str">
        <x:f>'RAW_센터채널성과'!A185</x:f>
        <x:v>2026-07</x:v>
      </x:c>
      <x:c r="B185" t="str">
        <x:f>'RAW_센터채널성과'!B185</x:f>
        <x:v>강남센터</x:v>
      </x:c>
      <x:c r="C185" t="str">
        <x:f>'RAW_센터채널성과'!C185</x:f>
        <x:v>초등 자기주도</x:v>
      </x:c>
      <x:c r="D185" t="str">
        <x:f>'RAW_센터채널성과'!D185</x:f>
        <x:v>네이버광고</x:v>
      </x:c>
      <x:c r="E185" t="n">
        <x:f>'RAW_센터채널성과'!E185</x:f>
        <x:v>90</x:v>
      </x:c>
      <x:c r="F185" t="n">
        <x:f>'RAW_센터채널성과'!F185</x:f>
        <x:v>57</x:v>
      </x:c>
      <x:c r="G185" t="n">
        <x:f>'RAW_센터채널성과'!G185</x:f>
        <x:v>28</x:v>
      </x:c>
      <x:c r="H185" s="3" t="n">
        <x:f>'RAW_센터채널성과'!H185</x:f>
        <x:v>17270000</x:v>
      </x:c>
      <x:c r="I185" s="3" t="n">
        <x:f>'RAW_센터채널성과'!I185</x:f>
        <x:v>0</x:v>
      </x:c>
      <x:c r="J185" s="3" t="n">
        <x:f>'RAW_센터채널성과'!J185</x:f>
        <x:v>1010000</x:v>
      </x:c>
      <x:c r="K185" t="n">
        <x:f>'RAW_센터채널성과'!K185</x:f>
        <x:v>0</x:v>
      </x:c>
      <x:c r="L185" s="4" t="n">
        <x:f>IFERROR(F185/E185,0)</x:f>
        <x:v>0.6333333333333333</x:v>
      </x:c>
      <x:c r="M185" s="4" t="n">
        <x:f>IFERROR(G185/F185,0)</x:f>
        <x:v>0.49122807017543857</x:v>
      </x:c>
      <x:c r="N185" s="4" t="n">
        <x:f>IFERROR(I185/G185,0)</x:f>
        <x:v>0</x:v>
      </x:c>
      <x:c r="O185" s="5" t="n">
        <x:f>IFERROR(H185/J185,0)</x:f>
        <x:v>17.099009900990097</x:v>
      </x:c>
    </x:row>
    <x:row r="186">
      <x:c r="A186" t="str">
        <x:f>'RAW_센터채널성과'!A186</x:f>
        <x:v>2026-07</x:v>
      </x:c>
      <x:c r="B186" t="str">
        <x:f>'RAW_센터채널성과'!B186</x:f>
        <x:v>강남센터</x:v>
      </x:c>
      <x:c r="C186" t="str">
        <x:f>'RAW_센터채널성과'!C186</x:f>
        <x:v>학부모 코칭</x:v>
      </x:c>
      <x:c r="D186" t="str">
        <x:f>'RAW_센터채널성과'!D186</x:f>
        <x:v>지인추천</x:v>
      </x:c>
      <x:c r="E186" t="n">
        <x:f>'RAW_센터채널성과'!E186</x:f>
        <x:v>98</x:v>
      </x:c>
      <x:c r="F186" t="n">
        <x:f>'RAW_센터채널성과'!F186</x:f>
        <x:v>53</x:v>
      </x:c>
      <x:c r="G186" t="n">
        <x:f>'RAW_센터채널성과'!G186</x:f>
        <x:v>27</x:v>
      </x:c>
      <x:c r="H186" s="3" t="n">
        <x:f>'RAW_센터채널성과'!H186</x:f>
        <x:v>16080000</x:v>
      </x:c>
      <x:c r="I186" s="3" t="n">
        <x:f>'RAW_센터채널성과'!I186</x:f>
        <x:v>1</x:v>
      </x:c>
      <x:c r="J186" s="3" t="n">
        <x:f>'RAW_센터채널성과'!J186</x:f>
        <x:v>260000</x:v>
      </x:c>
      <x:c r="K186" t="n">
        <x:f>'RAW_센터채널성과'!K186</x:f>
        <x:v>0</x:v>
      </x:c>
      <x:c r="L186" s="4" t="n">
        <x:f>IFERROR(F186/E186,0)</x:f>
        <x:v>0.5408163265306123</x:v>
      </x:c>
      <x:c r="M186" s="4" t="n">
        <x:f>IFERROR(G186/F186,0)</x:f>
        <x:v>0.5094339622641509</x:v>
      </x:c>
      <x:c r="N186" s="4" t="n">
        <x:f>IFERROR(I186/G186,0)</x:f>
        <x:v>0.037037037037037035</x:v>
      </x:c>
      <x:c r="O186" s="5" t="n">
        <x:f>IFERROR(H186/J186,0)</x:f>
        <x:v>61.84615384615385</x:v>
      </x:c>
    </x:row>
    <x:row r="187">
      <x:c r="A187" t="str">
        <x:f>'RAW_센터채널성과'!A187</x:f>
        <x:v>2026-07</x:v>
      </x:c>
      <x:c r="B187" t="str">
        <x:f>'RAW_센터채널성과'!B187</x:f>
        <x:v>강남센터</x:v>
      </x:c>
      <x:c r="C187" t="str">
        <x:f>'RAW_센터채널성과'!C187</x:f>
        <x:v>고등 입시</x:v>
      </x:c>
      <x:c r="D187" t="str">
        <x:f>'RAW_센터채널성과'!D187</x:f>
        <x:v>설명회</x:v>
      </x:c>
      <x:c r="E187" t="n">
        <x:f>'RAW_센터채널성과'!E187</x:f>
        <x:v>76</x:v>
      </x:c>
      <x:c r="F187" t="n">
        <x:f>'RAW_센터채널성과'!F187</x:f>
        <x:v>50</x:v>
      </x:c>
      <x:c r="G187" t="n">
        <x:f>'RAW_센터채널성과'!G187</x:f>
        <x:v>23</x:v>
      </x:c>
      <x:c r="H187" s="3" t="n">
        <x:f>'RAW_센터채널성과'!H187</x:f>
        <x:v>20050000</x:v>
      </x:c>
      <x:c r="I187" s="3" t="n">
        <x:f>'RAW_센터채널성과'!I187</x:f>
        <x:v>0</x:v>
      </x:c>
      <x:c r="J187" s="3" t="n">
        <x:f>'RAW_센터채널성과'!J187</x:f>
        <x:v>130000</x:v>
      </x:c>
      <x:c r="K187" t="n">
        <x:f>'RAW_센터채널성과'!K187</x:f>
        <x:v>0</x:v>
      </x:c>
      <x:c r="L187" s="4" t="n">
        <x:f>IFERROR(F187/E187,0)</x:f>
        <x:v>0.6578947368421053</x:v>
      </x:c>
      <x:c r="M187" s="4" t="n">
        <x:f>IFERROR(G187/F187,0)</x:f>
        <x:v>0.46</x:v>
      </x:c>
      <x:c r="N187" s="4" t="n">
        <x:f>IFERROR(I187/G187,0)</x:f>
        <x:v>0</x:v>
      </x:c>
      <x:c r="O187" s="5" t="n">
        <x:f>IFERROR(H187/J187,0)</x:f>
        <x:v>154.23076923076923</x:v>
      </x:c>
    </x:row>
    <x:row r="188">
      <x:c r="A188" t="str">
        <x:f>'RAW_센터채널성과'!A188</x:f>
        <x:v>2026-07</x:v>
      </x:c>
      <x:c r="B188" t="str">
        <x:f>'RAW_센터채널성과'!B188</x:f>
        <x:v>분당센터</x:v>
      </x:c>
      <x:c r="C188" t="str">
        <x:f>'RAW_센터채널성과'!C188</x:f>
        <x:v>초등 자기주도</x:v>
      </x:c>
      <x:c r="D188" t="str">
        <x:f>'RAW_센터채널성과'!D188</x:f>
        <x:v>홈페이지</x:v>
      </x:c>
      <x:c r="E188" t="n">
        <x:f>'RAW_센터채널성과'!E188</x:f>
        <x:v>97</x:v>
      </x:c>
      <x:c r="F188" t="n">
        <x:f>'RAW_센터채널성과'!F188</x:f>
        <x:v>66</x:v>
      </x:c>
      <x:c r="G188" t="n">
        <x:f>'RAW_센터채널성과'!G188</x:f>
        <x:v>27</x:v>
      </x:c>
      <x:c r="H188" s="3" t="n">
        <x:f>'RAW_센터채널성과'!H188</x:f>
        <x:v>24640000</x:v>
      </x:c>
      <x:c r="I188" s="3" t="n">
        <x:f>'RAW_센터채널성과'!I188</x:f>
        <x:v>0</x:v>
      </x:c>
      <x:c r="J188" s="3" t="n">
        <x:f>'RAW_센터채널성과'!J188</x:f>
        <x:v>140000</x:v>
      </x:c>
      <x:c r="K188" t="n">
        <x:f>'RAW_센터채널성과'!K188</x:f>
        <x:v>0</x:v>
      </x:c>
      <x:c r="L188" s="4" t="n">
        <x:f>IFERROR(F188/E188,0)</x:f>
        <x:v>0.6804123711340206</x:v>
      </x:c>
      <x:c r="M188" s="4" t="n">
        <x:f>IFERROR(G188/F188,0)</x:f>
        <x:v>0.4090909090909091</x:v>
      </x:c>
      <x:c r="N188" s="4" t="n">
        <x:f>IFERROR(I188/G188,0)</x:f>
        <x:v>0</x:v>
      </x:c>
      <x:c r="O188" s="5" t="n">
        <x:f>IFERROR(H188/J188,0)</x:f>
        <x:v>176</x:v>
      </x:c>
    </x:row>
    <x:row r="189">
      <x:c r="A189" t="str">
        <x:f>'RAW_센터채널성과'!A189</x:f>
        <x:v>2026-07</x:v>
      </x:c>
      <x:c r="B189" t="str">
        <x:f>'RAW_센터채널성과'!B189</x:f>
        <x:v>분당센터</x:v>
      </x:c>
      <x:c r="C189" t="str">
        <x:f>'RAW_센터채널성과'!C189</x:f>
        <x:v>학부모 코칭</x:v>
      </x:c>
      <x:c r="D189" t="str">
        <x:f>'RAW_센터채널성과'!D189</x:f>
        <x:v>블로그</x:v>
      </x:c>
      <x:c r="E189" t="n">
        <x:f>'RAW_센터채널성과'!E189</x:f>
        <x:v>27</x:v>
      </x:c>
      <x:c r="F189" t="n">
        <x:f>'RAW_센터채널성과'!F189</x:f>
        <x:v>17</x:v>
      </x:c>
      <x:c r="G189" t="n">
        <x:f>'RAW_센터채널성과'!G189</x:f>
        <x:v>6</x:v>
      </x:c>
      <x:c r="H189" s="3" t="n">
        <x:f>'RAW_센터채널성과'!H189</x:f>
        <x:v>3840000</x:v>
      </x:c>
      <x:c r="I189" s="3" t="n">
        <x:f>'RAW_센터채널성과'!I189</x:f>
        <x:v>0</x:v>
      </x:c>
      <x:c r="J189" s="3" t="n">
        <x:f>'RAW_센터채널성과'!J189</x:f>
        <x:v>50000</x:v>
      </x:c>
      <x:c r="K189" t="n">
        <x:f>'RAW_센터채널성과'!K189</x:f>
        <x:v>0</x:v>
      </x:c>
      <x:c r="L189" s="4" t="n">
        <x:f>IFERROR(F189/E189,0)</x:f>
        <x:v>0.6296296296296297</x:v>
      </x:c>
      <x:c r="M189" s="4" t="n">
        <x:f>IFERROR(G189/F189,0)</x:f>
        <x:v>0.35294117647058826</x:v>
      </x:c>
      <x:c r="N189" s="4" t="n">
        <x:f>IFERROR(I189/G189,0)</x:f>
        <x:v>0</x:v>
      </x:c>
      <x:c r="O189" s="5" t="n">
        <x:f>IFERROR(H189/J189,0)</x:f>
        <x:v>76.8</x:v>
      </x:c>
    </x:row>
    <x:row r="190">
      <x:c r="A190" t="str">
        <x:f>'RAW_센터채널성과'!A190</x:f>
        <x:v>2026-07</x:v>
      </x:c>
      <x:c r="B190" t="str">
        <x:f>'RAW_센터채널성과'!B190</x:f>
        <x:v>분당센터</x:v>
      </x:c>
      <x:c r="C190" t="str">
        <x:f>'RAW_센터채널성과'!C190</x:f>
        <x:v>중등 내신</x:v>
      </x:c>
      <x:c r="D190" t="str">
        <x:f>'RAW_센터채널성과'!D190</x:f>
        <x:v>카카오채널</x:v>
      </x:c>
      <x:c r="E190" t="n">
        <x:f>'RAW_센터채널성과'!E190</x:f>
        <x:v>73</x:v>
      </x:c>
      <x:c r="F190" t="n">
        <x:f>'RAW_센터채널성과'!F190</x:f>
        <x:v>48</x:v>
      </x:c>
      <x:c r="G190" t="n">
        <x:f>'RAW_센터채널성과'!G190</x:f>
        <x:v>25</x:v>
      </x:c>
      <x:c r="H190" s="3" t="n">
        <x:f>'RAW_센터채널성과'!H190</x:f>
        <x:v>20970000</x:v>
      </x:c>
      <x:c r="I190" s="3" t="n">
        <x:f>'RAW_센터채널성과'!I190</x:f>
        <x:v>0</x:v>
      </x:c>
      <x:c r="J190" s="3" t="n">
        <x:f>'RAW_센터채널성과'!J190</x:f>
        <x:v>170000</x:v>
      </x:c>
      <x:c r="K190" t="n">
        <x:f>'RAW_센터채널성과'!K190</x:f>
        <x:v>0</x:v>
      </x:c>
      <x:c r="L190" s="4" t="n">
        <x:f>IFERROR(F190/E190,0)</x:f>
        <x:v>0.6575342465753424</x:v>
      </x:c>
      <x:c r="M190" s="4" t="n">
        <x:f>IFERROR(G190/F190,0)</x:f>
        <x:v>0.5208333333333334</x:v>
      </x:c>
      <x:c r="N190" s="4" t="n">
        <x:f>IFERROR(I190/G190,0)</x:f>
        <x:v>0</x:v>
      </x:c>
      <x:c r="O190" s="5" t="n">
        <x:f>IFERROR(H190/J190,0)</x:f>
        <x:v>123.3529411764706</x:v>
      </x:c>
    </x:row>
    <x:row r="191">
      <x:c r="A191" t="str">
        <x:f>'RAW_센터채널성과'!A191</x:f>
        <x:v>2026-07</x:v>
      </x:c>
      <x:c r="B191" t="str">
        <x:f>'RAW_센터채널성과'!B191</x:f>
        <x:v>분당센터</x:v>
      </x:c>
      <x:c r="C191" t="str">
        <x:f>'RAW_센터채널성과'!C191</x:f>
        <x:v>AI 학습관리</x:v>
      </x:c>
      <x:c r="D191" t="str">
        <x:f>'RAW_센터채널성과'!D191</x:f>
        <x:v>네이버광고</x:v>
      </x:c>
      <x:c r="E191" t="n">
        <x:f>'RAW_센터채널성과'!E191</x:f>
        <x:v>70</x:v>
      </x:c>
      <x:c r="F191" t="n">
        <x:f>'RAW_센터채널성과'!F191</x:f>
        <x:v>47</x:v>
      </x:c>
      <x:c r="G191" t="n">
        <x:f>'RAW_센터채널성과'!G191</x:f>
        <x:v>19</x:v>
      </x:c>
      <x:c r="H191" s="3" t="n">
        <x:f>'RAW_센터채널성과'!H191</x:f>
        <x:v>14330000</x:v>
      </x:c>
      <x:c r="I191" s="3" t="n">
        <x:f>'RAW_센터채널성과'!I191</x:f>
        <x:v>0</x:v>
      </x:c>
      <x:c r="J191" s="3" t="n">
        <x:f>'RAW_센터채널성과'!J191</x:f>
        <x:v>1330000</x:v>
      </x:c>
      <x:c r="K191" t="n">
        <x:f>'RAW_센터채널성과'!K191</x:f>
        <x:v>0</x:v>
      </x:c>
      <x:c r="L191" s="4" t="n">
        <x:f>IFERROR(F191/E191,0)</x:f>
        <x:v>0.6714285714285714</x:v>
      </x:c>
      <x:c r="M191" s="4" t="n">
        <x:f>IFERROR(G191/F191,0)</x:f>
        <x:v>0.40425531914893614</x:v>
      </x:c>
      <x:c r="N191" s="4" t="n">
        <x:f>IFERROR(I191/G191,0)</x:f>
        <x:v>0</x:v>
      </x:c>
      <x:c r="O191" s="5" t="n">
        <x:f>IFERROR(H191/J191,0)</x:f>
        <x:v>10.774436090225564</x:v>
      </x:c>
    </x:row>
    <x:row r="192">
      <x:c r="A192" t="str">
        <x:f>'RAW_센터채널성과'!A192</x:f>
        <x:v>2026-07</x:v>
      </x:c>
      <x:c r="B192" t="str">
        <x:f>'RAW_센터채널성과'!B192</x:f>
        <x:v>분당센터</x:v>
      </x:c>
      <x:c r="C192" t="str">
        <x:f>'RAW_센터채널성과'!C192</x:f>
        <x:v>고등 입시</x:v>
      </x:c>
      <x:c r="D192" t="str">
        <x:f>'RAW_센터채널성과'!D192</x:f>
        <x:v>지인추천</x:v>
      </x:c>
      <x:c r="E192" t="n">
        <x:f>'RAW_센터채널성과'!E192</x:f>
        <x:v>85</x:v>
      </x:c>
      <x:c r="F192" t="n">
        <x:f>'RAW_센터채널성과'!F192</x:f>
        <x:v>34</x:v>
      </x:c>
      <x:c r="G192" t="n">
        <x:f>'RAW_센터채널성과'!G192</x:f>
        <x:v>13</x:v>
      </x:c>
      <x:c r="H192" s="3" t="n">
        <x:f>'RAW_센터채널성과'!H192</x:f>
        <x:v>10280000</x:v>
      </x:c>
      <x:c r="I192" s="3" t="n">
        <x:f>'RAW_센터채널성과'!I192</x:f>
        <x:v>0</x:v>
      </x:c>
      <x:c r="J192" s="3" t="n">
        <x:f>'RAW_센터채널성과'!J192</x:f>
        <x:v>190000</x:v>
      </x:c>
      <x:c r="K192" t="n">
        <x:f>'RAW_센터채널성과'!K192</x:f>
        <x:v>0</x:v>
      </x:c>
      <x:c r="L192" s="4" t="n">
        <x:f>IFERROR(F192/E192,0)</x:f>
        <x:v>0.4</x:v>
      </x:c>
      <x:c r="M192" s="4" t="n">
        <x:f>IFERROR(G192/F192,0)</x:f>
        <x:v>0.38235294117647056</x:v>
      </x:c>
      <x:c r="N192" s="4" t="n">
        <x:f>IFERROR(I192/G192,0)</x:f>
        <x:v>0</x:v>
      </x:c>
      <x:c r="O192" s="5" t="n">
        <x:f>IFERROR(H192/J192,0)</x:f>
        <x:v>54.10526315789474</x:v>
      </x:c>
    </x:row>
    <x:row r="193">
      <x:c r="A193" t="str">
        <x:f>'RAW_센터채널성과'!A193</x:f>
        <x:v>2026-07</x:v>
      </x:c>
      <x:c r="B193" t="str">
        <x:f>'RAW_센터채널성과'!B193</x:f>
        <x:v>분당센터</x:v>
      </x:c>
      <x:c r="C193" t="str">
        <x:f>'RAW_센터채널성과'!C193</x:f>
        <x:v>초등 자기주도</x:v>
      </x:c>
      <x:c r="D193" t="str">
        <x:f>'RAW_센터채널성과'!D193</x:f>
        <x:v>설명회</x:v>
      </x:c>
      <x:c r="E193" t="n">
        <x:f>'RAW_센터채널성과'!E193</x:f>
        <x:v>26</x:v>
      </x:c>
      <x:c r="F193" t="n">
        <x:f>'RAW_센터채널성과'!F193</x:f>
        <x:v>10</x:v>
      </x:c>
      <x:c r="G193" t="n">
        <x:f>'RAW_센터채널성과'!G193</x:f>
        <x:v>3</x:v>
      </x:c>
      <x:c r="H193" s="3" t="n">
        <x:f>'RAW_센터채널성과'!H193</x:f>
        <x:v>2170000</x:v>
      </x:c>
      <x:c r="I193" s="3" t="n">
        <x:f>'RAW_센터채널성과'!I193</x:f>
        <x:v>0</x:v>
      </x:c>
      <x:c r="J193" s="3" t="n">
        <x:f>'RAW_센터채널성과'!J193</x:f>
        <x:v>70000</x:v>
      </x:c>
      <x:c r="K193" t="n">
        <x:f>'RAW_센터채널성과'!K193</x:f>
        <x:v>0</x:v>
      </x:c>
      <x:c r="L193" s="4" t="n">
        <x:f>IFERROR(F193/E193,0)</x:f>
        <x:v>0.38461538461538464</x:v>
      </x:c>
      <x:c r="M193" s="4" t="n">
        <x:f>IFERROR(G193/F193,0)</x:f>
        <x:v>0.3</x:v>
      </x:c>
      <x:c r="N193" s="4" t="n">
        <x:f>IFERROR(I193/G193,0)</x:f>
        <x:v>0</x:v>
      </x:c>
      <x:c r="O193" s="5" t="n">
        <x:f>IFERROR(H193/J193,0)</x:f>
        <x:v>31</x:v>
      </x:c>
    </x:row>
    <x:row r="194">
      <x:c r="A194" t="str">
        <x:f>'RAW_센터채널성과'!A194</x:f>
        <x:v>2026-07</x:v>
      </x:c>
      <x:c r="B194" t="str">
        <x:f>'RAW_센터채널성과'!B194</x:f>
        <x:v>송파센터</x:v>
      </x:c>
      <x:c r="C194" t="str">
        <x:f>'RAW_센터채널성과'!C194</x:f>
        <x:v>학부모 코칭</x:v>
      </x:c>
      <x:c r="D194" t="str">
        <x:f>'RAW_센터채널성과'!D194</x:f>
        <x:v>홈페이지</x:v>
      </x:c>
      <x:c r="E194" t="n">
        <x:f>'RAW_센터채널성과'!E194</x:f>
        <x:v>35</x:v>
      </x:c>
      <x:c r="F194" t="n">
        <x:f>'RAW_센터채널성과'!F194</x:f>
        <x:v>23</x:v>
      </x:c>
      <x:c r="G194" t="n">
        <x:f>'RAW_센터채널성과'!G194</x:f>
        <x:v>10</x:v>
      </x:c>
      <x:c r="H194" s="3" t="n">
        <x:f>'RAW_센터채널성과'!H194</x:f>
        <x:v>7290000</x:v>
      </x:c>
      <x:c r="I194" s="3" t="n">
        <x:f>'RAW_센터채널성과'!I194</x:f>
        <x:v>0</x:v>
      </x:c>
      <x:c r="J194" s="3" t="n">
        <x:f>'RAW_센터채널성과'!J194</x:f>
        <x:v>80000</x:v>
      </x:c>
      <x:c r="K194" t="n">
        <x:f>'RAW_센터채널성과'!K194</x:f>
        <x:v>0</x:v>
      </x:c>
      <x:c r="L194" s="4" t="n">
        <x:f>IFERROR(F194/E194,0)</x:f>
        <x:v>0.6571428571428571</x:v>
      </x:c>
      <x:c r="M194" s="4" t="n">
        <x:f>IFERROR(G194/F194,0)</x:f>
        <x:v>0.43478260869565216</x:v>
      </x:c>
      <x:c r="N194" s="4" t="n">
        <x:f>IFERROR(I194/G194,0)</x:f>
        <x:v>0</x:v>
      </x:c>
      <x:c r="O194" s="5" t="n">
        <x:f>IFERROR(H194/J194,0)</x:f>
        <x:v>91.125</x:v>
      </x:c>
    </x:row>
    <x:row r="195">
      <x:c r="A195" t="str">
        <x:f>'RAW_센터채널성과'!A195</x:f>
        <x:v>2026-07</x:v>
      </x:c>
      <x:c r="B195" t="str">
        <x:f>'RAW_센터채널성과'!B195</x:f>
        <x:v>송파센터</x:v>
      </x:c>
      <x:c r="C195" t="str">
        <x:f>'RAW_센터채널성과'!C195</x:f>
        <x:v>중등 내신</x:v>
      </x:c>
      <x:c r="D195" t="str">
        <x:f>'RAW_센터채널성과'!D195</x:f>
        <x:v>블로그</x:v>
      </x:c>
      <x:c r="E195" t="n">
        <x:f>'RAW_센터채널성과'!E195</x:f>
        <x:v>95</x:v>
      </x:c>
      <x:c r="F195" t="n">
        <x:f>'RAW_센터채널성과'!F195</x:f>
        <x:v>42</x:v>
      </x:c>
      <x:c r="G195" t="n">
        <x:f>'RAW_센터채널성과'!G195</x:f>
        <x:v>18</x:v>
      </x:c>
      <x:c r="H195" s="3" t="n">
        <x:f>'RAW_센터채널성과'!H195</x:f>
        <x:v>11400000</x:v>
      </x:c>
      <x:c r="I195" s="3" t="n">
        <x:f>'RAW_센터채널성과'!I195</x:f>
        <x:v>0</x:v>
      </x:c>
      <x:c r="J195" s="3" t="n">
        <x:f>'RAW_센터채널성과'!J195</x:f>
        <x:v>190000</x:v>
      </x:c>
      <x:c r="K195" t="n">
        <x:f>'RAW_센터채널성과'!K195</x:f>
        <x:v>0</x:v>
      </x:c>
      <x:c r="L195" s="4" t="n">
        <x:f>IFERROR(F195/E195,0)</x:f>
        <x:v>0.4421052631578947</x:v>
      </x:c>
      <x:c r="M195" s="4" t="n">
        <x:f>IFERROR(G195/F195,0)</x:f>
        <x:v>0.42857142857142855</x:v>
      </x:c>
      <x:c r="N195" s="4" t="n">
        <x:f>IFERROR(I195/G195,0)</x:f>
        <x:v>0</x:v>
      </x:c>
      <x:c r="O195" s="5" t="n">
        <x:f>IFERROR(H195/J195,0)</x:f>
        <x:v>60</x:v>
      </x:c>
    </x:row>
    <x:row r="196">
      <x:c r="A196" t="str">
        <x:f>'RAW_센터채널성과'!A196</x:f>
        <x:v>2026-07</x:v>
      </x:c>
      <x:c r="B196" t="str">
        <x:f>'RAW_센터채널성과'!B196</x:f>
        <x:v>송파센터</x:v>
      </x:c>
      <x:c r="C196" t="str">
        <x:f>'RAW_센터채널성과'!C196</x:f>
        <x:v>AI 학습관리</x:v>
      </x:c>
      <x:c r="D196" t="str">
        <x:f>'RAW_센터채널성과'!D196</x:f>
        <x:v>카카오채널</x:v>
      </x:c>
      <x:c r="E196" t="n">
        <x:f>'RAW_센터채널성과'!E196</x:f>
        <x:v>27</x:v>
      </x:c>
      <x:c r="F196" t="n">
        <x:f>'RAW_센터채널성과'!F196</x:f>
        <x:v>14</x:v>
      </x:c>
      <x:c r="G196" t="n">
        <x:f>'RAW_센터채널성과'!G196</x:f>
        <x:v>6</x:v>
      </x:c>
      <x:c r="H196" s="3" t="n">
        <x:f>'RAW_센터채널성과'!H196</x:f>
        <x:v>4890000</x:v>
      </x:c>
      <x:c r="I196" s="3" t="n">
        <x:f>'RAW_센터채널성과'!I196</x:f>
        <x:v>1</x:v>
      </x:c>
      <x:c r="J196" s="3" t="n">
        <x:f>'RAW_센터채널성과'!J196</x:f>
        <x:v>40000</x:v>
      </x:c>
      <x:c r="K196" t="n">
        <x:f>'RAW_센터채널성과'!K196</x:f>
        <x:v>0</x:v>
      </x:c>
      <x:c r="L196" s="4" t="n">
        <x:f>IFERROR(F196/E196,0)</x:f>
        <x:v>0.5185185185185185</x:v>
      </x:c>
      <x:c r="M196" s="4" t="n">
        <x:f>IFERROR(G196/F196,0)</x:f>
        <x:v>0.42857142857142855</x:v>
      </x:c>
      <x:c r="N196" s="4" t="n">
        <x:f>IFERROR(I196/G196,0)</x:f>
        <x:v>0.16666666666666666</x:v>
      </x:c>
      <x:c r="O196" s="5" t="n">
        <x:f>IFERROR(H196/J196,0)</x:f>
        <x:v>122.25</x:v>
      </x:c>
    </x:row>
    <x:row r="197">
      <x:c r="A197" t="str">
        <x:f>'RAW_센터채널성과'!A197</x:f>
        <x:v>2026-07</x:v>
      </x:c>
      <x:c r="B197" t="str">
        <x:f>'RAW_센터채널성과'!B197</x:f>
        <x:v>송파센터</x:v>
      </x:c>
      <x:c r="C197" t="str">
        <x:f>'RAW_센터채널성과'!C197</x:f>
        <x:v>학부모 코칭</x:v>
      </x:c>
      <x:c r="D197" t="str">
        <x:f>'RAW_센터채널성과'!D197</x:f>
        <x:v>네이버광고</x:v>
      </x:c>
      <x:c r="E197" t="n">
        <x:f>'RAW_센터채널성과'!E197</x:f>
        <x:v>83</x:v>
      </x:c>
      <x:c r="F197" t="n">
        <x:f>'RAW_센터채널성과'!F197</x:f>
        <x:v>56</x:v>
      </x:c>
      <x:c r="G197" t="n">
        <x:f>'RAW_센터채널성과'!G197</x:f>
        <x:v>14</x:v>
      </x:c>
      <x:c r="H197" s="3" t="n">
        <x:f>'RAW_센터채널성과'!H197</x:f>
        <x:v>11940000</x:v>
      </x:c>
      <x:c r="I197" s="3" t="n">
        <x:f>'RAW_센터채널성과'!I197</x:f>
        <x:v>0</x:v>
      </x:c>
      <x:c r="J197" s="3" t="n">
        <x:f>'RAW_센터채널성과'!J197</x:f>
        <x:v>790000</x:v>
      </x:c>
      <x:c r="K197" t="n">
        <x:f>'RAW_센터채널성과'!K197</x:f>
        <x:v>0</x:v>
      </x:c>
      <x:c r="L197" s="4" t="n">
        <x:f>IFERROR(F197/E197,0)</x:f>
        <x:v>0.6746987951807228</x:v>
      </x:c>
      <x:c r="M197" s="4" t="n">
        <x:f>IFERROR(G197/F197,0)</x:f>
        <x:v>0.25</x:v>
      </x:c>
      <x:c r="N197" s="4" t="n">
        <x:f>IFERROR(I197/G197,0)</x:f>
        <x:v>0</x:v>
      </x:c>
      <x:c r="O197" s="5" t="n">
        <x:f>IFERROR(H197/J197,0)</x:f>
        <x:v>15.113924050632912</x:v>
      </x:c>
    </x:row>
    <x:row r="198">
      <x:c r="A198" t="str">
        <x:f>'RAW_센터채널성과'!A198</x:f>
        <x:v>2026-07</x:v>
      </x:c>
      <x:c r="B198" t="str">
        <x:f>'RAW_센터채널성과'!B198</x:f>
        <x:v>송파센터</x:v>
      </x:c>
      <x:c r="C198" t="str">
        <x:f>'RAW_센터채널성과'!C198</x:f>
        <x:v>중등 내신</x:v>
      </x:c>
      <x:c r="D198" t="str">
        <x:f>'RAW_센터채널성과'!D198</x:f>
        <x:v>지인추천</x:v>
      </x:c>
      <x:c r="E198" t="n">
        <x:f>'RAW_센터채널성과'!E198</x:f>
        <x:v>70</x:v>
      </x:c>
      <x:c r="F198" t="n">
        <x:f>'RAW_센터채널성과'!F198</x:f>
        <x:v>32</x:v>
      </x:c>
      <x:c r="G198" t="n">
        <x:f>'RAW_센터채널성과'!G198</x:f>
        <x:v>13</x:v>
      </x:c>
      <x:c r="H198" s="3" t="n">
        <x:f>'RAW_센터채널성과'!H198</x:f>
        <x:v>9780000</x:v>
      </x:c>
      <x:c r="I198" s="3" t="n">
        <x:f>'RAW_센터채널성과'!I198</x:f>
        <x:v>1</x:v>
      </x:c>
      <x:c r="J198" s="3" t="n">
        <x:f>'RAW_센터채널성과'!J198</x:f>
        <x:v>150000</x:v>
      </x:c>
      <x:c r="K198" t="n">
        <x:f>'RAW_센터채널성과'!K198</x:f>
        <x:v>0</x:v>
      </x:c>
      <x:c r="L198" s="4" t="n">
        <x:f>IFERROR(F198/E198,0)</x:f>
        <x:v>0.45714285714285713</x:v>
      </x:c>
      <x:c r="M198" s="4" t="n">
        <x:f>IFERROR(G198/F198,0)</x:f>
        <x:v>0.40625</x:v>
      </x:c>
      <x:c r="N198" s="4" t="n">
        <x:f>IFERROR(I198/G198,0)</x:f>
        <x:v>0.07692307692307693</x:v>
      </x:c>
      <x:c r="O198" s="5" t="n">
        <x:f>IFERROR(H198/J198,0)</x:f>
        <x:v>65.2</x:v>
      </x:c>
    </x:row>
    <x:row r="199">
      <x:c r="A199" t="str">
        <x:f>'RAW_센터채널성과'!A199</x:f>
        <x:v>2026-07</x:v>
      </x:c>
      <x:c r="B199" t="str">
        <x:f>'RAW_센터채널성과'!B199</x:f>
        <x:v>송파센터</x:v>
      </x:c>
      <x:c r="C199" t="str">
        <x:f>'RAW_센터채널성과'!C199</x:f>
        <x:v>초등 자기주도</x:v>
      </x:c>
      <x:c r="D199" t="str">
        <x:f>'RAW_센터채널성과'!D199</x:f>
        <x:v>설명회</x:v>
      </x:c>
      <x:c r="E199" t="n">
        <x:f>'RAW_센터채널성과'!E199</x:f>
        <x:v>24</x:v>
      </x:c>
      <x:c r="F199" t="n">
        <x:f>'RAW_센터채널성과'!F199</x:f>
        <x:v>11</x:v>
      </x:c>
      <x:c r="G199" t="n">
        <x:f>'RAW_센터채널성과'!G199</x:f>
        <x:v>2</x:v>
      </x:c>
      <x:c r="H199" s="3" t="n">
        <x:f>'RAW_센터채널성과'!H199</x:f>
        <x:v>960000</x:v>
      </x:c>
      <x:c r="I199" s="3" t="n">
        <x:f>'RAW_센터채널성과'!I199</x:f>
        <x:v>0</x:v>
      </x:c>
      <x:c r="J199" s="3" t="n">
        <x:f>'RAW_센터채널성과'!J199</x:f>
        <x:v>50000</x:v>
      </x:c>
      <x:c r="K199" t="n">
        <x:f>'RAW_센터채널성과'!K199</x:f>
        <x:v>0</x:v>
      </x:c>
      <x:c r="L199" s="4" t="n">
        <x:f>IFERROR(F199/E199,0)</x:f>
        <x:v>0.4583333333333333</x:v>
      </x:c>
      <x:c r="M199" s="4" t="n">
        <x:f>IFERROR(G199/F199,0)</x:f>
        <x:v>0.18181818181818182</x:v>
      </x:c>
      <x:c r="N199" s="4" t="n">
        <x:f>IFERROR(I199/G199,0)</x:f>
        <x:v>0</x:v>
      </x:c>
      <x:c r="O199" s="5" t="n">
        <x:f>IFERROR(H199/J199,0)</x:f>
        <x:v>19.2</x:v>
      </x:c>
    </x:row>
    <x:row r="200">
      <x:c r="A200" t="str">
        <x:f>'RAW_센터채널성과'!A200</x:f>
        <x:v>2026-07</x:v>
      </x:c>
      <x:c r="B200" t="str">
        <x:f>'RAW_센터채널성과'!B200</x:f>
        <x:v>목동센터</x:v>
      </x:c>
      <x:c r="C200" t="str">
        <x:f>'RAW_센터채널성과'!C200</x:f>
        <x:v>학부모 코칭</x:v>
      </x:c>
      <x:c r="D200" t="str">
        <x:f>'RAW_센터채널성과'!D200</x:f>
        <x:v>홈페이지</x:v>
      </x:c>
      <x:c r="E200" t="n">
        <x:f>'RAW_센터채널성과'!E200</x:f>
        <x:v>86</x:v>
      </x:c>
      <x:c r="F200" t="n">
        <x:f>'RAW_센터채널성과'!F200</x:f>
        <x:v>36</x:v>
      </x:c>
      <x:c r="G200" t="n">
        <x:f>'RAW_센터채널성과'!G200</x:f>
        <x:v>10</x:v>
      </x:c>
      <x:c r="H200" s="3" t="n">
        <x:f>'RAW_센터채널성과'!H200</x:f>
        <x:v>8780000</x:v>
      </x:c>
      <x:c r="I200" s="3" t="n">
        <x:f>'RAW_센터채널성과'!I200</x:f>
        <x:v>0</x:v>
      </x:c>
      <x:c r="J200" s="3" t="n">
        <x:f>'RAW_센터채널성과'!J200</x:f>
        <x:v>320000</x:v>
      </x:c>
      <x:c r="K200" t="n">
        <x:f>'RAW_센터채널성과'!K200</x:f>
        <x:v>0</x:v>
      </x:c>
      <x:c r="L200" s="4" t="n">
        <x:f>IFERROR(F200/E200,0)</x:f>
        <x:v>0.4186046511627907</x:v>
      </x:c>
      <x:c r="M200" s="4" t="n">
        <x:f>IFERROR(G200/F200,0)</x:f>
        <x:v>0.2777777777777778</x:v>
      </x:c>
      <x:c r="N200" s="4" t="n">
        <x:f>IFERROR(I200/G200,0)</x:f>
        <x:v>0</x:v>
      </x:c>
      <x:c r="O200" s="5" t="n">
        <x:f>IFERROR(H200/J200,0)</x:f>
        <x:v>27.4375</x:v>
      </x:c>
    </x:row>
    <x:row r="201">
      <x:c r="A201" t="str">
        <x:f>'RAW_센터채널성과'!A201</x:f>
        <x:v>2026-07</x:v>
      </x:c>
      <x:c r="B201" t="str">
        <x:f>'RAW_센터채널성과'!B201</x:f>
        <x:v>목동센터</x:v>
      </x:c>
      <x:c r="C201" t="str">
        <x:f>'RAW_센터채널성과'!C201</x:f>
        <x:v>중등 내신</x:v>
      </x:c>
      <x:c r="D201" t="str">
        <x:f>'RAW_센터채널성과'!D201</x:f>
        <x:v>블로그</x:v>
      </x:c>
      <x:c r="E201" t="n">
        <x:f>'RAW_센터채널성과'!E201</x:f>
        <x:v>79</x:v>
      </x:c>
      <x:c r="F201" t="n">
        <x:f>'RAW_센터채널성과'!F201</x:f>
        <x:v>53</x:v>
      </x:c>
      <x:c r="G201" t="n">
        <x:f>'RAW_센터채널성과'!G201</x:f>
        <x:v>27</x:v>
      </x:c>
      <x:c r="H201" s="3" t="n">
        <x:f>'RAW_센터채널성과'!H201</x:f>
        <x:v>26220000</x:v>
      </x:c>
      <x:c r="I201" s="3" t="n">
        <x:f>'RAW_센터채널성과'!I201</x:f>
        <x:v>1</x:v>
      </x:c>
      <x:c r="J201" s="3" t="n">
        <x:f>'RAW_센터채널성과'!J201</x:f>
        <x:v>130000</x:v>
      </x:c>
      <x:c r="K201" t="n">
        <x:f>'RAW_센터채널성과'!K201</x:f>
        <x:v>0</x:v>
      </x:c>
      <x:c r="L201" s="4" t="n">
        <x:f>IFERROR(F201/E201,0)</x:f>
        <x:v>0.6708860759493671</x:v>
      </x:c>
      <x:c r="M201" s="4" t="n">
        <x:f>IFERROR(G201/F201,0)</x:f>
        <x:v>0.5094339622641509</x:v>
      </x:c>
      <x:c r="N201" s="4" t="n">
        <x:f>IFERROR(I201/G201,0)</x:f>
        <x:v>0.037037037037037035</x:v>
      </x:c>
      <x:c r="O201" s="5" t="n">
        <x:f>IFERROR(H201/J201,0)</x:f>
        <x:v>201.69230769230768</x:v>
      </x:c>
    </x:row>
    <x:row r="202">
      <x:c r="A202" t="str">
        <x:f>'RAW_센터채널성과'!A202</x:f>
        <x:v>2026-07</x:v>
      </x:c>
      <x:c r="B202" t="str">
        <x:f>'RAW_센터채널성과'!B202</x:f>
        <x:v>목동센터</x:v>
      </x:c>
      <x:c r="C202" t="str">
        <x:f>'RAW_센터채널성과'!C202</x:f>
        <x:v>초등 자기주도</x:v>
      </x:c>
      <x:c r="D202" t="str">
        <x:f>'RAW_센터채널성과'!D202</x:f>
        <x:v>카카오채널</x:v>
      </x:c>
      <x:c r="E202" t="n">
        <x:f>'RAW_센터채널성과'!E202</x:f>
        <x:v>78</x:v>
      </x:c>
      <x:c r="F202" t="n">
        <x:f>'RAW_센터채널성과'!F202</x:f>
        <x:v>39</x:v>
      </x:c>
      <x:c r="G202" t="n">
        <x:f>'RAW_센터채널성과'!G202</x:f>
        <x:v>13</x:v>
      </x:c>
      <x:c r="H202" s="3" t="n">
        <x:f>'RAW_센터채널성과'!H202</x:f>
        <x:v>12300000</x:v>
      </x:c>
      <x:c r="I202" s="3" t="n">
        <x:f>'RAW_센터채널성과'!I202</x:f>
        <x:v>0</x:v>
      </x:c>
      <x:c r="J202" s="3" t="n">
        <x:f>'RAW_센터채널성과'!J202</x:f>
        <x:v>270000</x:v>
      </x:c>
      <x:c r="K202" t="n">
        <x:f>'RAW_센터채널성과'!K202</x:f>
        <x:v>0</x:v>
      </x:c>
      <x:c r="L202" s="4" t="n">
        <x:f>IFERROR(F202/E202,0)</x:f>
        <x:v>0.5</x:v>
      </x:c>
      <x:c r="M202" s="4" t="n">
        <x:f>IFERROR(G202/F202,0)</x:f>
        <x:v>0.3333333333333333</x:v>
      </x:c>
      <x:c r="N202" s="4" t="n">
        <x:f>IFERROR(I202/G202,0)</x:f>
        <x:v>0</x:v>
      </x:c>
      <x:c r="O202" s="5" t="n">
        <x:f>IFERROR(H202/J202,0)</x:f>
        <x:v>45.55555555555556</x:v>
      </x:c>
    </x:row>
    <x:row r="203">
      <x:c r="A203" t="str">
        <x:f>'RAW_센터채널성과'!A203</x:f>
        <x:v>2026-07</x:v>
      </x:c>
      <x:c r="B203" t="str">
        <x:f>'RAW_센터채널성과'!B203</x:f>
        <x:v>목동센터</x:v>
      </x:c>
      <x:c r="C203" t="str">
        <x:f>'RAW_센터채널성과'!C203</x:f>
        <x:v>학부모 코칭</x:v>
      </x:c>
      <x:c r="D203" t="str">
        <x:f>'RAW_센터채널성과'!D203</x:f>
        <x:v>네이버광고</x:v>
      </x:c>
      <x:c r="E203" t="n">
        <x:f>'RAW_센터채널성과'!E203</x:f>
        <x:v>45</x:v>
      </x:c>
      <x:c r="F203" t="n">
        <x:f>'RAW_센터채널성과'!F203</x:f>
        <x:v>19</x:v>
      </x:c>
      <x:c r="G203" t="n">
        <x:f>'RAW_센터채널성과'!G203</x:f>
        <x:v>9</x:v>
      </x:c>
      <x:c r="H203" s="3" t="n">
        <x:f>'RAW_센터채널성과'!H203</x:f>
        <x:v>4710000</x:v>
      </x:c>
      <x:c r="I203" s="3" t="n">
        <x:f>'RAW_센터채널성과'!I203</x:f>
        <x:v>0</x:v>
      </x:c>
      <x:c r="J203" s="3" t="n">
        <x:f>'RAW_센터채널성과'!J203</x:f>
        <x:v>670000</x:v>
      </x:c>
      <x:c r="K203" t="n">
        <x:f>'RAW_센터채널성과'!K203</x:f>
        <x:v>0</x:v>
      </x:c>
      <x:c r="L203" s="4" t="n">
        <x:f>IFERROR(F203/E203,0)</x:f>
        <x:v>0.4222222222222222</x:v>
      </x:c>
      <x:c r="M203" s="4" t="n">
        <x:f>IFERROR(G203/F203,0)</x:f>
        <x:v>0.47368421052631576</x:v>
      </x:c>
      <x:c r="N203" s="4" t="n">
        <x:f>IFERROR(I203/G203,0)</x:f>
        <x:v>0</x:v>
      </x:c>
      <x:c r="O203" s="5" t="n">
        <x:f>IFERROR(H203/J203,0)</x:f>
        <x:v>7.029850746268656</x:v>
      </x:c>
    </x:row>
    <x:row r="204">
      <x:c r="A204" t="str">
        <x:f>'RAW_센터채널성과'!A204</x:f>
        <x:v>2026-07</x:v>
      </x:c>
      <x:c r="B204" t="str">
        <x:f>'RAW_센터채널성과'!B204</x:f>
        <x:v>목동센터</x:v>
      </x:c>
      <x:c r="C204" t="str">
        <x:f>'RAW_센터채널성과'!C204</x:f>
        <x:v>중등 내신</x:v>
      </x:c>
      <x:c r="D204" t="str">
        <x:f>'RAW_센터채널성과'!D204</x:f>
        <x:v>지인추천</x:v>
      </x:c>
      <x:c r="E204" t="n">
        <x:f>'RAW_센터채널성과'!E204</x:f>
        <x:v>46</x:v>
      </x:c>
      <x:c r="F204" t="n">
        <x:f>'RAW_센터채널성과'!F204</x:f>
        <x:v>22</x:v>
      </x:c>
      <x:c r="G204" t="n">
        <x:f>'RAW_센터채널성과'!G204</x:f>
        <x:v>8</x:v>
      </x:c>
      <x:c r="H204" s="3" t="n">
        <x:f>'RAW_센터채널성과'!H204</x:f>
        <x:v>5100000</x:v>
      </x:c>
      <x:c r="I204" s="3" t="n">
        <x:f>'RAW_센터채널성과'!I204</x:f>
        <x:v>1</x:v>
      </x:c>
      <x:c r="J204" s="3" t="n">
        <x:f>'RAW_센터채널성과'!J204</x:f>
        <x:v>140000</x:v>
      </x:c>
      <x:c r="K204" t="n">
        <x:f>'RAW_센터채널성과'!K204</x:f>
        <x:v>0</x:v>
      </x:c>
      <x:c r="L204" s="4" t="n">
        <x:f>IFERROR(F204/E204,0)</x:f>
        <x:v>0.4782608695652174</x:v>
      </x:c>
      <x:c r="M204" s="4" t="n">
        <x:f>IFERROR(G204/F204,0)</x:f>
        <x:v>0.36363636363636365</x:v>
      </x:c>
      <x:c r="N204" s="4" t="n">
        <x:f>IFERROR(I204/G204,0)</x:f>
        <x:v>0.125</x:v>
      </x:c>
      <x:c r="O204" s="5" t="n">
        <x:f>IFERROR(H204/J204,0)</x:f>
        <x:v>36.42857142857143</x:v>
      </x:c>
    </x:row>
    <x:row r="205">
      <x:c r="A205" t="str">
        <x:f>'RAW_센터채널성과'!A205</x:f>
        <x:v>2026-07</x:v>
      </x:c>
      <x:c r="B205" t="str">
        <x:f>'RAW_센터채널성과'!B205</x:f>
        <x:v>목동센터</x:v>
      </x:c>
      <x:c r="C205" t="str">
        <x:f>'RAW_센터채널성과'!C205</x:f>
        <x:v>초등 자기주도</x:v>
      </x:c>
      <x:c r="D205" t="str">
        <x:f>'RAW_센터채널성과'!D205</x:f>
        <x:v>설명회</x:v>
      </x:c>
      <x:c r="E205" t="n">
        <x:f>'RAW_센터채널성과'!E205</x:f>
        <x:v>66</x:v>
      </x:c>
      <x:c r="F205" t="n">
        <x:f>'RAW_센터채널성과'!F205</x:f>
        <x:v>39</x:v>
      </x:c>
      <x:c r="G205" t="n">
        <x:f>'RAW_센터채널성과'!G205</x:f>
        <x:v>18</x:v>
      </x:c>
      <x:c r="H205" s="3" t="n">
        <x:f>'RAW_센터채널성과'!H205</x:f>
        <x:v>12520000</x:v>
      </x:c>
      <x:c r="I205" s="3" t="n">
        <x:f>'RAW_센터채널성과'!I205</x:f>
        <x:v>0</x:v>
      </x:c>
      <x:c r="J205" s="3" t="n">
        <x:f>'RAW_센터채널성과'!J205</x:f>
        <x:v>90000</x:v>
      </x:c>
      <x:c r="K205" t="n">
        <x:f>'RAW_센터채널성과'!K205</x:f>
        <x:v>0</x:v>
      </x:c>
      <x:c r="L205" s="4" t="n">
        <x:f>IFERROR(F205/E205,0)</x:f>
        <x:v>0.5909090909090909</x:v>
      </x:c>
      <x:c r="M205" s="4" t="n">
        <x:f>IFERROR(G205/F205,0)</x:f>
        <x:v>0.46153846153846156</x:v>
      </x:c>
      <x:c r="N205" s="4" t="n">
        <x:f>IFERROR(I205/G205,0)</x:f>
        <x:v>0</x:v>
      </x:c>
      <x:c r="O205" s="5" t="n">
        <x:f>IFERROR(H205/J205,0)</x:f>
        <x:v>139.11111111111111</x:v>
      </x:c>
    </x:row>
    <x:row r="206">
      <x:c r="A206" t="str">
        <x:f>'RAW_센터채널성과'!A206</x:f>
        <x:v>2026-07</x:v>
      </x:c>
      <x:c r="B206" t="str">
        <x:f>'RAW_센터채널성과'!B206</x:f>
        <x:v>대전센터</x:v>
      </x:c>
      <x:c r="C206" t="str">
        <x:f>'RAW_센터채널성과'!C206</x:f>
        <x:v>학부모 코칭</x:v>
      </x:c>
      <x:c r="D206" t="str">
        <x:f>'RAW_센터채널성과'!D206</x:f>
        <x:v>홈페이지</x:v>
      </x:c>
      <x:c r="E206" t="n">
        <x:f>'RAW_센터채널성과'!E206</x:f>
        <x:v>32</x:v>
      </x:c>
      <x:c r="F206" t="n">
        <x:f>'RAW_센터채널성과'!F206</x:f>
        <x:v>17</x:v>
      </x:c>
      <x:c r="G206" t="n">
        <x:f>'RAW_센터채널성과'!G206</x:f>
        <x:v>6</x:v>
      </x:c>
      <x:c r="H206" s="3" t="n">
        <x:f>'RAW_센터채널성과'!H206</x:f>
        <x:v>5170000</x:v>
      </x:c>
      <x:c r="I206" s="3" t="n">
        <x:f>'RAW_센터채널성과'!I206</x:f>
        <x:v>2</x:v>
      </x:c>
      <x:c r="J206" s="3" t="n">
        <x:f>'RAW_센터채널성과'!J206</x:f>
        <x:v>100000</x:v>
      </x:c>
      <x:c r="K206" t="n">
        <x:f>'RAW_센터채널성과'!K206</x:f>
        <x:v>0</x:v>
      </x:c>
      <x:c r="L206" s="4" t="n">
        <x:f>IFERROR(F206/E206,0)</x:f>
        <x:v>0.53125</x:v>
      </x:c>
      <x:c r="M206" s="4" t="n">
        <x:f>IFERROR(G206/F206,0)</x:f>
        <x:v>0.35294117647058826</x:v>
      </x:c>
      <x:c r="N206" s="4" t="n">
        <x:f>IFERROR(I206/G206,0)</x:f>
        <x:v>0.3333333333333333</x:v>
      </x:c>
      <x:c r="O206" s="5" t="n">
        <x:f>IFERROR(H206/J206,0)</x:f>
        <x:v>51.7</x:v>
      </x:c>
    </x:row>
    <x:row r="207">
      <x:c r="A207" t="str">
        <x:f>'RAW_센터채널성과'!A207</x:f>
        <x:v>2026-07</x:v>
      </x:c>
      <x:c r="B207" t="str">
        <x:f>'RAW_센터채널성과'!B207</x:f>
        <x:v>대전센터</x:v>
      </x:c>
      <x:c r="C207" t="str">
        <x:f>'RAW_센터채널성과'!C207</x:f>
        <x:v>고등 입시</x:v>
      </x:c>
      <x:c r="D207" t="str">
        <x:f>'RAW_센터채널성과'!D207</x:f>
        <x:v>블로그</x:v>
      </x:c>
      <x:c r="E207" t="n">
        <x:f>'RAW_센터채널성과'!E207</x:f>
        <x:v>24</x:v>
      </x:c>
      <x:c r="F207" t="n">
        <x:f>'RAW_센터채널성과'!F207</x:f>
        <x:v>15</x:v>
      </x:c>
      <x:c r="G207" t="n">
        <x:f>'RAW_센터채널성과'!G207</x:f>
        <x:v>7</x:v>
      </x:c>
      <x:c r="H207" s="3" t="n">
        <x:f>'RAW_센터채널성과'!H207</x:f>
        <x:v>5580000</x:v>
      </x:c>
      <x:c r="I207" s="3" t="n">
        <x:f>'RAW_센터채널성과'!I207</x:f>
        <x:v>0</x:v>
      </x:c>
      <x:c r="J207" s="3" t="n">
        <x:f>'RAW_센터채널성과'!J207</x:f>
        <x:v>40000</x:v>
      </x:c>
      <x:c r="K207" t="n">
        <x:f>'RAW_센터채널성과'!K207</x:f>
        <x:v>0</x:v>
      </x:c>
      <x:c r="L207" s="4" t="n">
        <x:f>IFERROR(F207/E207,0)</x:f>
        <x:v>0.625</x:v>
      </x:c>
      <x:c r="M207" s="4" t="n">
        <x:f>IFERROR(G207/F207,0)</x:f>
        <x:v>0.4666666666666667</x:v>
      </x:c>
      <x:c r="N207" s="4" t="n">
        <x:f>IFERROR(I207/G207,0)</x:f>
        <x:v>0</x:v>
      </x:c>
      <x:c r="O207" s="5" t="n">
        <x:f>IFERROR(H207/J207,0)</x:f>
        <x:v>139.5</x:v>
      </x:c>
    </x:row>
    <x:row r="208">
      <x:c r="A208" t="str">
        <x:f>'RAW_센터채널성과'!A208</x:f>
        <x:v>2026-07</x:v>
      </x:c>
      <x:c r="B208" t="str">
        <x:f>'RAW_센터채널성과'!B208</x:f>
        <x:v>대전센터</x:v>
      </x:c>
      <x:c r="C208" t="str">
        <x:f>'RAW_센터채널성과'!C208</x:f>
        <x:v>초등 자기주도</x:v>
      </x:c>
      <x:c r="D208" t="str">
        <x:f>'RAW_센터채널성과'!D208</x:f>
        <x:v>카카오채널</x:v>
      </x:c>
      <x:c r="E208" t="n">
        <x:f>'RAW_센터채널성과'!E208</x:f>
        <x:v>51</x:v>
      </x:c>
      <x:c r="F208" t="n">
        <x:f>'RAW_센터채널성과'!F208</x:f>
        <x:v>30</x:v>
      </x:c>
      <x:c r="G208" t="n">
        <x:f>'RAW_센터채널성과'!G208</x:f>
        <x:v>7</x:v>
      </x:c>
      <x:c r="H208" s="3" t="n">
        <x:f>'RAW_센터채널성과'!H208</x:f>
        <x:v>3610000</x:v>
      </x:c>
      <x:c r="I208" s="3" t="n">
        <x:f>'RAW_센터채널성과'!I208</x:f>
        <x:v>0</x:v>
      </x:c>
      <x:c r="J208" s="3" t="n">
        <x:f>'RAW_센터채널성과'!J208</x:f>
        <x:v>160000</x:v>
      </x:c>
      <x:c r="K208" t="n">
        <x:f>'RAW_센터채널성과'!K208</x:f>
        <x:v>0</x:v>
      </x:c>
      <x:c r="L208" s="4" t="n">
        <x:f>IFERROR(F208/E208,0)</x:f>
        <x:v>0.5882352941176471</x:v>
      </x:c>
      <x:c r="M208" s="4" t="n">
        <x:f>IFERROR(G208/F208,0)</x:f>
        <x:v>0.23333333333333334</x:v>
      </x:c>
      <x:c r="N208" s="4" t="n">
        <x:f>IFERROR(I208/G208,0)</x:f>
        <x:v>0</x:v>
      </x:c>
      <x:c r="O208" s="5" t="n">
        <x:f>IFERROR(H208/J208,0)</x:f>
        <x:v>22.5625</x:v>
      </x:c>
    </x:row>
    <x:row r="209">
      <x:c r="A209" t="str">
        <x:f>'RAW_센터채널성과'!A209</x:f>
        <x:v>2026-07</x:v>
      </x:c>
      <x:c r="B209" t="str">
        <x:f>'RAW_센터채널성과'!B209</x:f>
        <x:v>대전센터</x:v>
      </x:c>
      <x:c r="C209" t="str">
        <x:f>'RAW_센터채널성과'!C209</x:f>
        <x:v>학부모 코칭</x:v>
      </x:c>
      <x:c r="D209" t="str">
        <x:f>'RAW_센터채널성과'!D209</x:f>
        <x:v>네이버광고</x:v>
      </x:c>
      <x:c r="E209" t="n">
        <x:f>'RAW_센터채널성과'!E209</x:f>
        <x:v>29</x:v>
      </x:c>
      <x:c r="F209" t="n">
        <x:f>'RAW_센터채널성과'!F209</x:f>
        <x:v>13</x:v>
      </x:c>
      <x:c r="G209" t="n">
        <x:f>'RAW_센터채널성과'!G209</x:f>
        <x:v>6</x:v>
      </x:c>
      <x:c r="H209" s="3" t="n">
        <x:f>'RAW_센터채널성과'!H209</x:f>
        <x:v>5350000</x:v>
      </x:c>
      <x:c r="I209" s="3" t="n">
        <x:f>'RAW_센터채널성과'!I209</x:f>
        <x:v>1</x:v>
      </x:c>
      <x:c r="J209" s="3" t="n">
        <x:f>'RAW_센터채널성과'!J209</x:f>
        <x:v>400000</x:v>
      </x:c>
      <x:c r="K209" t="str">
        <x:f>'RAW_센터채널성과'!K209</x:f>
        <x:v>센터명 표기 확인 필요</x:v>
      </x:c>
      <x:c r="L209" s="4" t="n">
        <x:f>IFERROR(F209/E209,0)</x:f>
        <x:v>0.4482758620689655</x:v>
      </x:c>
      <x:c r="M209" s="4" t="n">
        <x:f>IFERROR(G209/F209,0)</x:f>
        <x:v>0.46153846153846156</x:v>
      </x:c>
      <x:c r="N209" s="4" t="n">
        <x:f>IFERROR(I209/G209,0)</x:f>
        <x:v>0.16666666666666666</x:v>
      </x:c>
      <x:c r="O209" s="5" t="n">
        <x:f>IFERROR(H209/J209,0)</x:f>
        <x:v>13.375</x:v>
      </x:c>
    </x:row>
    <x:row r="210">
      <x:c r="A210" t="str">
        <x:f>'RAW_센터채널성과'!A210</x:f>
        <x:v>2026-07</x:v>
      </x:c>
      <x:c r="B210" t="str">
        <x:f>'RAW_센터채널성과'!B210</x:f>
        <x:v>대전센터</x:v>
      </x:c>
      <x:c r="C210" t="str">
        <x:f>'RAW_센터채널성과'!C210</x:f>
        <x:v>고등 입시</x:v>
      </x:c>
      <x:c r="D210" t="str">
        <x:f>'RAW_센터채널성과'!D210</x:f>
        <x:v>지인추천</x:v>
      </x:c>
      <x:c r="E210" t="n">
        <x:f>'RAW_센터채널성과'!E210</x:f>
        <x:v>30</x:v>
      </x:c>
      <x:c r="F210" t="n">
        <x:f>'RAW_센터채널성과'!F210</x:f>
        <x:v>12</x:v>
      </x:c>
      <x:c r="G210" t="n">
        <x:f>'RAW_센터채널성과'!G210</x:f>
        <x:v>6</x:v>
      </x:c>
      <x:c r="H210" s="3" t="n">
        <x:f>'RAW_센터채널성과'!H210</x:f>
        <x:v>4470000</x:v>
      </x:c>
      <x:c r="I210" s="3" t="n">
        <x:f>'RAW_센터채널성과'!I210</x:f>
        <x:v>0</x:v>
      </x:c>
      <x:c r="J210" s="3" t="n">
        <x:f>'RAW_센터채널성과'!J210</x:f>
        <x:v>60000</x:v>
      </x:c>
      <x:c r="K210" t="n">
        <x:f>'RAW_센터채널성과'!K210</x:f>
        <x:v>0</x:v>
      </x:c>
      <x:c r="L210" s="4" t="n">
        <x:f>IFERROR(F210/E210,0)</x:f>
        <x:v>0.4</x:v>
      </x:c>
      <x:c r="M210" s="4" t="n">
        <x:f>IFERROR(G210/F210,0)</x:f>
        <x:v>0.5</x:v>
      </x:c>
      <x:c r="N210" s="4" t="n">
        <x:f>IFERROR(I210/G210,0)</x:f>
        <x:v>0</x:v>
      </x:c>
      <x:c r="O210" s="5" t="n">
        <x:f>IFERROR(H210/J210,0)</x:f>
        <x:v>74.5</x:v>
      </x:c>
    </x:row>
    <x:row r="211">
      <x:c r="A211" t="str">
        <x:f>'RAW_센터채널성과'!A211</x:f>
        <x:v>2026-07</x:v>
      </x:c>
      <x:c r="B211" t="str">
        <x:f>'RAW_센터채널성과'!B211</x:f>
        <x:v>대전센터</x:v>
      </x:c>
      <x:c r="C211" t="str">
        <x:f>'RAW_센터채널성과'!C211</x:f>
        <x:v>초등 자기주도</x:v>
      </x:c>
      <x:c r="D211" t="str">
        <x:f>'RAW_센터채널성과'!D211</x:f>
        <x:v>설명회</x:v>
      </x:c>
      <x:c r="E211" t="n">
        <x:f>'RAW_센터채널성과'!E211</x:f>
        <x:v>78</x:v>
      </x:c>
      <x:c r="F211" t="n">
        <x:f>'RAW_센터채널성과'!F211</x:f>
        <x:v>44</x:v>
      </x:c>
      <x:c r="G211" t="n">
        <x:f>'RAW_센터채널성과'!G211</x:f>
        <x:v>17</x:v>
      </x:c>
      <x:c r="H211" s="3" t="n">
        <x:f>'RAW_센터채널성과'!H211</x:f>
        <x:v>13900000</x:v>
      </x:c>
      <x:c r="I211" s="3" t="n">
        <x:f>'RAW_센터채널성과'!I211</x:f>
        <x:v>0</x:v>
      </x:c>
      <x:c r="J211" s="3" t="n">
        <x:f>'RAW_센터채널성과'!J211</x:f>
        <x:v>230000</x:v>
      </x:c>
      <x:c r="K211" t="str">
        <x:f>'RAW_센터채널성과'!K211</x:f>
        <x:v>센터명 표기 확인 필요</x:v>
      </x:c>
      <x:c r="L211" s="4" t="n">
        <x:f>IFERROR(F211/E211,0)</x:f>
        <x:v>0.5641025641025641</x:v>
      </x:c>
      <x:c r="M211" s="4" t="n">
        <x:f>IFERROR(G211/F211,0)</x:f>
        <x:v>0.38636363636363635</x:v>
      </x:c>
      <x:c r="N211" s="4" t="n">
        <x:f>IFERROR(I211/G211,0)</x:f>
        <x:v>0</x:v>
      </x:c>
      <x:c r="O211" s="5" t="n">
        <x:f>IFERROR(H211/J211,0)</x:f>
        <x:v>60.43478260869565</x:v>
      </x:c>
    </x:row>
    <x:row r="212">
      <x:c r="A212" t="str">
        <x:f>'RAW_센터채널성과'!A212</x:f>
        <x:v>2026-07</x:v>
      </x:c>
      <x:c r="B212" t="str">
        <x:f>'RAW_센터채널성과'!B212</x:f>
        <x:v>부산센터</x:v>
      </x:c>
      <x:c r="C212" t="str">
        <x:f>'RAW_센터채널성과'!C212</x:f>
        <x:v>학부모 코칭</x:v>
      </x:c>
      <x:c r="D212" t="str">
        <x:f>'RAW_센터채널성과'!D212</x:f>
        <x:v>홈페이지</x:v>
      </x:c>
      <x:c r="E212" t="n">
        <x:f>'RAW_센터채널성과'!E212</x:f>
        <x:v>39</x:v>
      </x:c>
      <x:c r="F212" t="n">
        <x:f>'RAW_센터채널성과'!F212</x:f>
        <x:v>27</x:v>
      </x:c>
      <x:c r="G212" t="n">
        <x:f>'RAW_센터채널성과'!G212</x:f>
        <x:v>8</x:v>
      </x:c>
      <x:c r="H212" s="3" t="n">
        <x:f>'RAW_센터채널성과'!H212</x:f>
        <x:v>5230000</x:v>
      </x:c>
      <x:c r="I212" s="3" t="n">
        <x:f>'RAW_센터채널성과'!I212</x:f>
        <x:v>0</x:v>
      </x:c>
      <x:c r="J212" s="3" t="n">
        <x:f>'RAW_센터채널성과'!J212</x:f>
        <x:v>140000</x:v>
      </x:c>
      <x:c r="K212" t="n">
        <x:f>'RAW_센터채널성과'!K212</x:f>
        <x:v>0</x:v>
      </x:c>
      <x:c r="L212" s="4" t="n">
        <x:f>IFERROR(F212/E212,0)</x:f>
        <x:v>0.6923076923076923</x:v>
      </x:c>
      <x:c r="M212" s="4" t="n">
        <x:f>IFERROR(G212/F212,0)</x:f>
        <x:v>0.2962962962962963</x:v>
      </x:c>
      <x:c r="N212" s="4" t="n">
        <x:f>IFERROR(I212/G212,0)</x:f>
        <x:v>0</x:v>
      </x:c>
      <x:c r="O212" s="5" t="n">
        <x:f>IFERROR(H212/J212,0)</x:f>
        <x:v>37.357142857142854</x:v>
      </x:c>
    </x:row>
    <x:row r="213">
      <x:c r="A213" t="str">
        <x:f>'RAW_센터채널성과'!A213</x:f>
        <x:v>2026-07</x:v>
      </x:c>
      <x:c r="B213" t="str">
        <x:f>'RAW_센터채널성과'!B213</x:f>
        <x:v>부산센터</x:v>
      </x:c>
      <x:c r="C213" t="str">
        <x:f>'RAW_센터채널성과'!C213</x:f>
        <x:v>중등 내신</x:v>
      </x:c>
      <x:c r="D213" t="str">
        <x:f>'RAW_센터채널성과'!D213</x:f>
        <x:v>블로그</x:v>
      </x:c>
      <x:c r="E213" t="n">
        <x:f>'RAW_센터채널성과'!E213</x:f>
        <x:v>52</x:v>
      </x:c>
      <x:c r="F213" t="n">
        <x:f>'RAW_센터채널성과'!F213</x:f>
        <x:v>26</x:v>
      </x:c>
      <x:c r="G213" t="n">
        <x:f>'RAW_센터채널성과'!G213</x:f>
        <x:v>5</x:v>
      </x:c>
      <x:c r="H213" s="3" t="n">
        <x:f>'RAW_센터채널성과'!H213</x:f>
        <x:v>4060000</x:v>
      </x:c>
      <x:c r="I213" s="3" t="n">
        <x:f>'RAW_센터채널성과'!I213</x:f>
        <x:v>0</x:v>
      </x:c>
      <x:c r="J213" s="3" t="n">
        <x:f>'RAW_센터채널성과'!J213</x:f>
        <x:v>110000</x:v>
      </x:c>
      <x:c r="K213" t="n">
        <x:f>'RAW_센터채널성과'!K213</x:f>
        <x:v>0</x:v>
      </x:c>
      <x:c r="L213" s="4" t="n">
        <x:f>IFERROR(F213/E213,0)</x:f>
        <x:v>0.5</x:v>
      </x:c>
      <x:c r="M213" s="4" t="n">
        <x:f>IFERROR(G213/F213,0)</x:f>
        <x:v>0.19230769230769232</x:v>
      </x:c>
      <x:c r="N213" s="4" t="n">
        <x:f>IFERROR(I213/G213,0)</x:f>
        <x:v>0</x:v>
      </x:c>
      <x:c r="O213" s="5" t="n">
        <x:f>IFERROR(H213/J213,0)</x:f>
        <x:v>36.90909090909091</x:v>
      </x:c>
    </x:row>
    <x:row r="214">
      <x:c r="A214" t="str">
        <x:f>'RAW_센터채널성과'!A214</x:f>
        <x:v>2026-07</x:v>
      </x:c>
      <x:c r="B214" t="str">
        <x:f>'RAW_센터채널성과'!B214</x:f>
        <x:v>부산센터</x:v>
      </x:c>
      <x:c r="C214" t="str">
        <x:f>'RAW_센터채널성과'!C214</x:f>
        <x:v>AI 학습관리</x:v>
      </x:c>
      <x:c r="D214" t="str">
        <x:f>'RAW_센터채널성과'!D214</x:f>
        <x:v>카카오채널</x:v>
      </x:c>
      <x:c r="E214" t="n">
        <x:f>'RAW_센터채널성과'!E214</x:f>
        <x:v>71</x:v>
      </x:c>
      <x:c r="F214" t="n">
        <x:f>'RAW_센터채널성과'!F214</x:f>
        <x:v>36</x:v>
      </x:c>
      <x:c r="G214" t="n">
        <x:f>'RAW_센터채널성과'!G214</x:f>
        <x:v>13</x:v>
      </x:c>
      <x:c r="H214" s="3" t="n">
        <x:f>'RAW_센터채널성과'!H214</x:f>
        <x:v>12730000</x:v>
      </x:c>
      <x:c r="I214" s="3" t="n">
        <x:f>'RAW_센터채널성과'!I214</x:f>
        <x:v>0</x:v>
      </x:c>
      <x:c r="J214" s="3" t="n">
        <x:f>'RAW_센터채널성과'!J214</x:f>
        <x:v>110000</x:v>
      </x:c>
      <x:c r="K214" t="n">
        <x:f>'RAW_센터채널성과'!K214</x:f>
        <x:v>0</x:v>
      </x:c>
      <x:c r="L214" s="4" t="n">
        <x:f>IFERROR(F214/E214,0)</x:f>
        <x:v>0.5070422535211268</x:v>
      </x:c>
      <x:c r="M214" s="4" t="n">
        <x:f>IFERROR(G214/F214,0)</x:f>
        <x:v>0.3611111111111111</x:v>
      </x:c>
      <x:c r="N214" s="4" t="n">
        <x:f>IFERROR(I214/G214,0)</x:f>
        <x:v>0</x:v>
      </x:c>
      <x:c r="O214" s="5" t="n">
        <x:f>IFERROR(H214/J214,0)</x:f>
        <x:v>115.72727272727273</x:v>
      </x:c>
    </x:row>
    <x:row r="215">
      <x:c r="A215" t="str">
        <x:f>'RAW_센터채널성과'!A215</x:f>
        <x:v>2026-07</x:v>
      </x:c>
      <x:c r="B215" t="str">
        <x:f>'RAW_센터채널성과'!B215</x:f>
        <x:v>부산센터</x:v>
      </x:c>
      <x:c r="C215" t="str">
        <x:f>'RAW_센터채널성과'!C215</x:f>
        <x:v>고등 입시</x:v>
      </x:c>
      <x:c r="D215" t="str">
        <x:f>'RAW_센터채널성과'!D215</x:f>
        <x:v>네이버광고</x:v>
      </x:c>
      <x:c r="E215" t="n">
        <x:f>'RAW_센터채널성과'!E215</x:f>
        <x:v>30</x:v>
      </x:c>
      <x:c r="F215" t="n">
        <x:f>'RAW_센터채널성과'!F215</x:f>
        <x:v>12</x:v>
      </x:c>
      <x:c r="G215" t="n">
        <x:f>'RAW_센터채널성과'!G215</x:f>
        <x:v>3</x:v>
      </x:c>
      <x:c r="H215" s="3" t="n">
        <x:f>'RAW_센터채널성과'!H215</x:f>
        <x:v>1570000</x:v>
      </x:c>
      <x:c r="I215" s="3" t="n">
        <x:f>'RAW_센터채널성과'!I215</x:f>
        <x:v>1</x:v>
      </x:c>
      <x:c r="J215" s="3" t="n">
        <x:f>'RAW_센터채널성과'!J215</x:f>
        <x:v>450000</x:v>
      </x:c>
      <x:c r="K215" t="str">
        <x:f>'RAW_센터채널성과'!K215</x:f>
        <x:v>설명회 유입 포함</x:v>
      </x:c>
      <x:c r="L215" s="4" t="n">
        <x:f>IFERROR(F215/E215,0)</x:f>
        <x:v>0.4</x:v>
      </x:c>
      <x:c r="M215" s="4" t="n">
        <x:f>IFERROR(G215/F215,0)</x:f>
        <x:v>0.25</x:v>
      </x:c>
      <x:c r="N215" s="4" t="n">
        <x:f>IFERROR(I215/G215,0)</x:f>
        <x:v>0.3333333333333333</x:v>
      </x:c>
      <x:c r="O215" s="5" t="n">
        <x:f>IFERROR(H215/J215,0)</x:f>
        <x:v>3.488888888888889</x:v>
      </x:c>
    </x:row>
    <x:row r="216">
      <x:c r="A216" t="str">
        <x:f>'RAW_센터채널성과'!A216</x:f>
        <x:v>2026-07</x:v>
      </x:c>
      <x:c r="B216" t="str">
        <x:f>'RAW_센터채널성과'!B216</x:f>
        <x:v>부산센터</x:v>
      </x:c>
      <x:c r="C216" t="str">
        <x:f>'RAW_센터채널성과'!C216</x:f>
        <x:v>중등 내신</x:v>
      </x:c>
      <x:c r="D216" t="str">
        <x:f>'RAW_센터채널성과'!D216</x:f>
        <x:v>지인추천</x:v>
      </x:c>
      <x:c r="E216" t="n">
        <x:f>'RAW_센터채널성과'!E216</x:f>
        <x:v>70</x:v>
      </x:c>
      <x:c r="F216" t="n">
        <x:f>'RAW_센터채널성과'!F216</x:f>
        <x:v>39</x:v>
      </x:c>
      <x:c r="G216" t="n">
        <x:f>'RAW_센터채널성과'!G216</x:f>
        <x:v>8</x:v>
      </x:c>
      <x:c r="H216" s="3" t="n">
        <x:f>'RAW_센터채널성과'!H216</x:f>
        <x:v>5910000</x:v>
      </x:c>
      <x:c r="I216" s="3" t="n">
        <x:f>'RAW_센터채널성과'!I216</x:f>
        <x:v>0</x:v>
      </x:c>
      <x:c r="J216" s="3" t="n">
        <x:f>'RAW_센터채널성과'!J216</x:f>
        <x:v>90000</x:v>
      </x:c>
      <x:c r="K216" t="n">
        <x:f>'RAW_센터채널성과'!K216</x:f>
        <x:v>0</x:v>
      </x:c>
      <x:c r="L216" s="4" t="n">
        <x:f>IFERROR(F216/E216,0)</x:f>
        <x:v>0.5571428571428572</x:v>
      </x:c>
      <x:c r="M216" s="4" t="n">
        <x:f>IFERROR(G216/F216,0)</x:f>
        <x:v>0.20512820512820512</x:v>
      </x:c>
      <x:c r="N216" s="4" t="n">
        <x:f>IFERROR(I216/G216,0)</x:f>
        <x:v>0</x:v>
      </x:c>
      <x:c r="O216" s="5" t="n">
        <x:f>IFERROR(H216/J216,0)</x:f>
        <x:v>65.66666666666667</x:v>
      </x:c>
    </x:row>
    <x:row r="217">
      <x:c r="A217" t="str">
        <x:f>'RAW_센터채널성과'!A217</x:f>
        <x:v>2026-07</x:v>
      </x:c>
      <x:c r="B217" t="str">
        <x:f>'RAW_센터채널성과'!B217</x:f>
        <x:v>부산센터</x:v>
      </x:c>
      <x:c r="C217" t="str">
        <x:f>'RAW_센터채널성과'!C217</x:f>
        <x:v>AI 학습관리</x:v>
      </x:c>
      <x:c r="D217" t="str">
        <x:f>'RAW_센터채널성과'!D217</x:f>
        <x:v>설명회</x:v>
      </x:c>
      <x:c r="E217" t="n">
        <x:f>'RAW_센터채널성과'!E217</x:f>
        <x:v>79</x:v>
      </x:c>
      <x:c r="F217" t="n">
        <x:f>'RAW_센터채널성과'!F217</x:f>
        <x:v>42</x:v>
      </x:c>
      <x:c r="G217" t="n">
        <x:f>'RAW_센터채널성과'!G217</x:f>
        <x:v>21</x:v>
      </x:c>
      <x:c r="H217" s="3" t="n">
        <x:f>'RAW_센터채널성과'!H217</x:f>
        <x:v>12900000</x:v>
      </x:c>
      <x:c r="I217" s="3" t="n">
        <x:f>'RAW_센터채널성과'!I217</x:f>
        <x:v>0</x:v>
      </x:c>
      <x:c r="J217" s="3" t="n">
        <x:f>'RAW_센터채널성과'!J217</x:f>
        <x:v>230000</x:v>
      </x:c>
      <x:c r="K217" t="n">
        <x:f>'RAW_센터채널성과'!K217</x:f>
        <x:v>0</x:v>
      </x:c>
      <x:c r="L217" s="4" t="n">
        <x:f>IFERROR(F217/E217,0)</x:f>
        <x:v>0.5316455696202531</x:v>
      </x:c>
      <x:c r="M217" s="4" t="n">
        <x:f>IFERROR(G217/F217,0)</x:f>
        <x:v>0.5</x:v>
      </x:c>
      <x:c r="N217" s="4" t="n">
        <x:f>IFERROR(I217/G217,0)</x:f>
        <x:v>0</x:v>
      </x:c>
      <x:c r="O217" s="5" t="n">
        <x:f>IFERROR(H217/J217,0)</x:f>
        <x:v>56.08695652173913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.4399995803833" hidden="0" customWidth="1"/>
    <x:col min="2" max="2" width="12.4399995803833" hidden="0" customWidth="1"/>
    <x:col min="3" max="3" width="12.4399995803833" hidden="0" customWidth="1"/>
    <x:col min="4" max="4" width="12.4399995803833" hidden="0" customWidth="1"/>
    <x:col min="5" max="5" width="12.4399995803833" hidden="0" customWidth="1"/>
    <x:col min="6" max="6" width="12.4399995803833" hidden="0" customWidth="1"/>
  </x:cols>
  <x:sheetData>
    <x:row r="1">
      <x:c r="A1" s="2" t="str">
        <x:v>center</x:v>
      </x:c>
      <x:c r="B1" s="2" t="str">
        <x:v>lead_sum</x:v>
      </x:c>
      <x:c r="C1" s="2" t="str">
        <x:v>enroll_sum</x:v>
      </x:c>
      <x:c r="D1" s="2" t="str">
        <x:v>revenue_sum</x:v>
      </x:c>
      <x:c r="E1" s="2" t="str">
        <x:v>enroll_rate</x:v>
      </x:c>
      <x:c r="F1" s="2" t="str">
        <x:v>refund_rate</x:v>
      </x:c>
    </x:row>
    <x:row r="2">
      <x:c r="A2" t="str">
        <x:v>강남센터</x:v>
      </x:c>
      <x:c r="B2" t="n">
        <x:v>2050</x:v>
      </x:c>
      <x:c r="C2" t="n">
        <x:v>424</x:v>
      </x:c>
      <x:c r="D2" s="3" t="n">
        <x:v>305270000</x:v>
      </x:c>
      <x:c r="E2" s="4" t="n">
        <x:v>0.20682926829268292</x:v>
      </x:c>
      <x:c r="F2" s="4" t="n">
        <x:v>0.02122641509433962</x:v>
      </x:c>
    </x:row>
    <x:row r="3">
      <x:c r="A3" t="str">
        <x:v>분당센터</x:v>
      </x:c>
      <x:c r="B3" t="n">
        <x:v>2443</x:v>
      </x:c>
      <x:c r="C3" t="n">
        <x:v>459</x:v>
      </x:c>
      <x:c r="D3" s="3" t="n">
        <x:v>351810000</x:v>
      </x:c>
      <x:c r="E3" s="4" t="n">
        <x:v>0.18788374948833403</x:v>
      </x:c>
      <x:c r="F3" s="4" t="n">
        <x:v>0.015250544662309368</x:v>
      </x:c>
    </x:row>
    <x:row r="4">
      <x:c r="A4" t="str">
        <x:v>송파센터</x:v>
      </x:c>
      <x:c r="B4" t="n">
        <x:v>2158</x:v>
      </x:c>
      <x:c r="C4" t="n">
        <x:v>398</x:v>
      </x:c>
      <x:c r="D4" s="3" t="n">
        <x:v>296700000</x:v>
      </x:c>
      <x:c r="E4" s="4" t="n">
        <x:v>0.18443002780352177</x:v>
      </x:c>
      <x:c r="F4" s="4" t="n">
        <x:v>0.02763819095477387</x:v>
      </x:c>
    </x:row>
    <x:row r="5">
      <x:c r="A5" t="str">
        <x:v>목동센터</x:v>
      </x:c>
      <x:c r="B5" t="n">
        <x:v>2425</x:v>
      </x:c>
      <x:c r="C5" t="n">
        <x:v>470</x:v>
      </x:c>
      <x:c r="D5" s="3" t="n">
        <x:v>353250000</x:v>
      </x:c>
      <x:c r="E5" s="4" t="n">
        <x:v>0.19381443298969073</x:v>
      </x:c>
      <x:c r="F5" s="4" t="n">
        <x:v>0.02553191489361702</x:v>
      </x:c>
    </x:row>
    <x:row r="6">
      <x:c r="A6" t="str">
        <x:v>대전센터</x:v>
      </x:c>
      <x:c r="B6" t="n">
        <x:v>2104</x:v>
      </x:c>
      <x:c r="C6" t="n">
        <x:v>417</x:v>
      </x:c>
      <x:c r="D6" s="3" t="n">
        <x:v>316640000</x:v>
      </x:c>
      <x:c r="E6" s="4" t="n">
        <x:v>0.19819391634980987</x:v>
      </x:c>
      <x:c r="F6" s="4" t="n">
        <x:v>0.02877697841726619</x:v>
      </x:c>
    </x:row>
    <x:row r="7">
      <x:c r="A7" t="str">
        <x:v>부산센터</x:v>
      </x:c>
      <x:c r="B7" t="n">
        <x:v>2171</x:v>
      </x:c>
      <x:c r="C7" t="n">
        <x:v>407</x:v>
      </x:c>
      <x:c r="D7" s="3" t="n">
        <x:v>302570000</x:v>
      </x:c>
      <x:c r="E7" s="4" t="n">
        <x:v>0.18747121142330722</x:v>
      </x:c>
      <x:c r="F7" s="4" t="n">
        <x:v>0.009828009828009828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3.329999923706055" hidden="0" customWidth="1"/>
    <x:col min="2" max="2" width="23.329999923706055" hidden="0" customWidth="1"/>
    <x:col min="3" max="3" width="23.329999923706055" hidden="0" customWidth="1"/>
    <x:col min="4" max="4" width="23.329999923706055" hidden="0" customWidth="1"/>
    <x:col min="5" max="5" width="23.329999923706055" hidden="0" customWidth="1"/>
  </x:cols>
  <x:sheetData>
    <x:row r="1">
      <x:c r="A1" s="6" t="str">
        <x:v>분석 질문</x:v>
      </x:c>
      <x:c r="B1" s="6" t="str">
        <x:v>핵심 발견</x:v>
      </x:c>
      <x:c r="C1" s="6" t="str">
        <x:v>근거 숫자</x:v>
      </x:c>
      <x:c r="D1" s="6" t="str">
        <x:v>다음 액션</x:v>
      </x:c>
      <x:c r="E1" s="6" t="str">
        <x:v>검산 여부</x:v>
      </x:c>
    </x:row>
    <x:row r="2">
      <x:c r="A2" s="7" t="str">
        <x:v>어느 센터의 전환 효율이 높은가?</x:v>
      </x:c>
      <x:c r="B2" s="7" t="str">
        <x:v>분당센터와 강남센터가 전환율 상위권입니다.</x:v>
      </x:c>
      <x:c r="C2" s="7" t="str">
        <x:v>요약_피벗재료 E열 기준</x:v>
      </x:c>
      <x:c r="D2" s="7" t="str">
        <x:v>상위 센터의 채널 믹스를 다른 센터와 비교</x:v>
      </x:c>
      <x:c r="E2" s="7" t="str">
        <x:v>확인 필요</x:v>
      </x:c>
    </x:row>
    <x:row r="3">
      <x:c r="A3" s="7" t="str">
        <x:v>어떤 채널이 비용 대비 효율적인가?</x:v>
      </x:c>
      <x:c r="B3" s="7" t="str">
        <x:v>지인추천은 광고비가 낮아 ROI가 높게 나타납니다.</x:v>
      </x:c>
      <x:c r="C3" s="7" t="str">
        <x:v>분석용_계산열 O열 기준</x:v>
      </x:c>
      <x:c r="D3" s="7" t="str">
        <x:v>추천 유입 확대 프로모션 검토</x:v>
      </x:c>
      <x:c r="E3" s="7" t="str">
        <x:v>확인 필요</x:v>
      </x:c>
    </x:row>
    <x:row r="4">
      <x:c r="A4" s="7" t="str">
        <x:v>환불 리스크가 있는 과정은?</x:v>
      </x:c>
      <x:c r="B4" s="7" t="str">
        <x:v>고등 입시 과정 일부 센터에서 환불 후보가 반복됩니다.</x:v>
      </x:c>
      <x:c r="C4" s="7" t="str">
        <x:v>refund_rate, note 확인</x:v>
      </x:c>
      <x:c r="D4" s="7" t="str">
        <x:v>상담 스크립트와 안내 자료 점검</x:v>
      </x:c>
      <x:c r="E4" s="7" t="str">
        <x:v>확인 필요</x:v>
      </x:c>
    </x:row>
    <x:row r="5">
      <x:c r="A5" s="7" t="str">
        <x:v>보고서에 바로 쓸 문장은?</x:v>
      </x:c>
      <x:c r="B5" s="7" t="str">
        <x:v>센터·채널별 차이를 기준으로 다음 액션을 1개만 고릅니다.</x:v>
      </x:c>
      <x:c r="C5" s="7" t="str">
        <x:v>피벗 + 차트 근거</x:v>
      </x:c>
      <x:c r="D5" s="7" t="str">
        <x:v>캡처와 5문장 요약 제출</x:v>
      </x:c>
      <x:c r="E5" s="7" t="str">
        <x:v>확인 필요</x:v>
      </x:c>
    </x:row>
  </x:sheetData>
  <x:pageMargins left="0.7" right="0.7" top="0.75" bottom="0.75" header="0.3" footer="0.3"/>
</x:worksheet>
</file>